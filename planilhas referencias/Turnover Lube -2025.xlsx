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Z:\Aurea\Tour nover\"/>
    </mc:Choice>
  </mc:AlternateContent>
  <xr:revisionPtr revIDLastSave="0" documentId="13_ncr:1_{E8E07DE8-4923-4C3A-A2DB-E605768D9697}" xr6:coauthVersionLast="47" xr6:coauthVersionMax="47" xr10:uidLastSave="{00000000-0000-0000-0000-000000000000}"/>
  <bookViews>
    <workbookView xWindow="-120" yWindow="-120" windowWidth="29040" windowHeight="15720" tabRatio="881" firstSheet="1" activeTab="2" xr2:uid="{00000000-000D-0000-FFFF-FFFF00000000}"/>
  </bookViews>
  <sheets>
    <sheet name="Lista" sheetId="30" state="hidden" r:id="rId1"/>
    <sheet name="TURNOVER SUBSTITUIÇÃO" sheetId="31" r:id="rId2"/>
    <sheet name="TURNOVER GLOBAL-2025" sheetId="4" r:id="rId3"/>
    <sheet name="LUBE" sheetId="32" r:id="rId4"/>
    <sheet name="LLOG" sheetId="33" r:id="rId5"/>
    <sheet name="IMPERIO " sheetId="35" r:id="rId6"/>
    <sheet name="SERMAR" sheetId="36" r:id="rId7"/>
  </sheets>
  <definedNames>
    <definedName name="InterExter">Lista!$A$1:$A$3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36" l="1"/>
  <c r="H36" i="36"/>
  <c r="H35" i="36"/>
  <c r="H34" i="36"/>
  <c r="H33" i="36"/>
  <c r="H32" i="36"/>
  <c r="H31" i="36"/>
  <c r="H30" i="36"/>
  <c r="H29" i="36"/>
  <c r="H28" i="36"/>
  <c r="H27" i="36"/>
  <c r="H26" i="36"/>
  <c r="H38" i="36" s="1"/>
  <c r="H37" i="35"/>
  <c r="H36" i="35"/>
  <c r="H35" i="35"/>
  <c r="H34" i="35"/>
  <c r="H33" i="35"/>
  <c r="H32" i="35"/>
  <c r="H31" i="35"/>
  <c r="H30" i="35"/>
  <c r="H29" i="35"/>
  <c r="H28" i="35"/>
  <c r="H27" i="35"/>
  <c r="H26" i="35"/>
  <c r="H38" i="35" s="1"/>
  <c r="H38" i="33"/>
  <c r="H37" i="33"/>
  <c r="H36" i="33"/>
  <c r="H35" i="33"/>
  <c r="H34" i="33"/>
  <c r="H33" i="33"/>
  <c r="H32" i="33"/>
  <c r="H31" i="33"/>
  <c r="H30" i="33"/>
  <c r="H29" i="33"/>
  <c r="H28" i="33"/>
  <c r="H27" i="33"/>
  <c r="H26" i="33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H38" i="4"/>
  <c r="H37" i="4"/>
  <c r="H36" i="4"/>
  <c r="H35" i="4"/>
  <c r="H34" i="4"/>
  <c r="H33" i="4"/>
  <c r="H32" i="4"/>
  <c r="H31" i="4"/>
  <c r="H30" i="4"/>
  <c r="H29" i="4"/>
  <c r="H28" i="4"/>
  <c r="H27" i="4"/>
  <c r="H2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- Tabela1" description="Conexão com a consulta 'Tabela1' na pasta de trabalho." type="5" refreshedVersion="2" background="1" saveData="1">
    <dbPr connection="Provider=Microsoft.Mashup.OleDb.1;Data Source=$Workbook$;Location=Tabela1;Extended Properties=&quot;&quot;" command="SELECT * FROM [Tabela1]"/>
  </connection>
  <connection id="2" xr16:uid="{00000000-0015-0000-FFFF-FFFF01000000}" name="Consulta - Tabela3" description="Conexão com a consulta 'Tabela3' na pasta de trabalho." type="5" refreshedVersion="2" background="1" saveData="1">
    <dbPr connection="Provider=Microsoft.Mashup.OleDb.1;Data Source=$Workbook$;Location=Tabela3;Extended Properties=&quot;&quot;" command="SELECT * FROM [Tabela3]"/>
  </connection>
</connections>
</file>

<file path=xl/sharedStrings.xml><?xml version="1.0" encoding="utf-8"?>
<sst xmlns="http://schemas.openxmlformats.org/spreadsheetml/2006/main" count="137" uniqueCount="32">
  <si>
    <t>Externo</t>
  </si>
  <si>
    <t>Fora do prazo</t>
  </si>
  <si>
    <t>Interno</t>
  </si>
  <si>
    <t>Dentro do prazo</t>
  </si>
  <si>
    <t>Misto</t>
  </si>
  <si>
    <t>Insira aqui a sua logo!</t>
  </si>
  <si>
    <t>TURNOVER GLOBAL</t>
  </si>
  <si>
    <t>MOVIMENTAÇÕES</t>
  </si>
  <si>
    <t>MÊS</t>
  </si>
  <si>
    <t>TOTAL COLAB.</t>
  </si>
  <si>
    <t>ENTRADAS</t>
  </si>
  <si>
    <t>SAÍDAS</t>
  </si>
  <si>
    <t>TURNOVER (GLOBAL)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</si>
  <si>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</si>
  <si>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</si>
  <si>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</si>
  <si>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</si>
  <si>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</si>
  <si>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</si>
  <si>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</si>
  <si>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</si>
  <si>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</si>
  <si>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</si>
  <si>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</si>
  <si>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</si>
  <si>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TOTAL</t>
  </si>
  <si>
    <t>TURNOVER SUBSTITUIÇÃO</t>
  </si>
  <si>
    <t>ENTRADAS POR SUBSTITUIÇÃO</t>
  </si>
  <si>
    <t>ENTRADAS POR NOVAS DEMANDAS</t>
  </si>
  <si>
    <t>SAÍDAS POR SUBSTITUIÇÃO</t>
  </si>
  <si>
    <t>SAÍDAS PLAUSÍVEIS</t>
  </si>
  <si>
    <t>TURNOVER (SUBSTITUIÇÃO)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</si>
</sst>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>
    <font>
      <sz val="10"/>
      <color rgb="FF000000"/>
      <name val="Arial"/>
      <charset val="134"/>
    </font>
    <font>
      <sz val="10"/>
      <color rgb="FF000000"/>
      <name val="Avenir LT Std 45 Book"/>
      <charset val="134"/>
    </font>
    <font>
      <b/>
      <u/>
      <sz val="12"/>
      <color theme="0"/>
      <name val="Avenir LT Std 45 Book"/>
      <charset val="134"/>
    </font>
    <font>
      <b/>
      <sz val="24"/>
      <color theme="0"/>
      <name val="Avenir LT Std 45 Book"/>
      <charset val="134"/>
    </font>
    <font>
      <b/>
      <sz val="12"/>
      <color theme="0"/>
      <name val="Avenir LT Std 45 Book"/>
      <charset val="134"/>
    </font>
    <font>
      <b/>
      <sz val="12"/>
      <color theme="1"/>
      <name val="Avenir LT Std 45 Book"/>
      <charset val="134"/>
    </font>
    <font>
      <sz val="12"/>
      <color theme="1"/>
      <name val="Avenir LT Std 45 Book"/>
      <charset val="134"/>
    </font>
    <font>
      <sz val="11"/>
      <color theme="1"/>
      <name val="Avenir LT Std 45 Book"/>
      <charset val="134"/>
    </font>
    <font>
      <sz val="10"/>
      <color rgb="FF000000"/>
      <name val="Arial"/>
      <charset val="134"/>
    </font>
  </fonts>
  <fills count="9">
    <fill>
      <patternFill patternType="none"/>
    </fill>
    <fill>
      <patternFill patternType="gray125"/>
    </fill>
    <fill>
      <patternFill patternType="solid">
        <fgColor rgb="FF20178A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4998626667073579"/>
        <bgColor indexed="64"/>
      </patternFill>
    </fill>
  </fills>
  <borders count="3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4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</cellStyleXfs>
  <cellXfs count="44">
    <xf numFmtId="0" fontId="0" fillId="0" borderId="0" xfId="0"/>
    <xf numFmtId="0" fontId="1" fillId="2" borderId="0" xfId="0" applyFont="1" applyFill="1"/>
    <xf numFmtId="0" fontId="1" fillId="0" borderId="0" xfId="0" applyFont="1"/>
    <xf numFmtId="17" fontId="4" fillId="4" borderId="8" xfId="0" applyNumberFormat="1" applyFont="1" applyFill="1" applyBorder="1" applyAlignment="1">
      <alignment horizontal="center" vertical="center" wrapText="1"/>
    </xf>
    <xf numFmtId="17" fontId="4" fillId="4" borderId="9" xfId="0" applyNumberFormat="1" applyFont="1" applyFill="1" applyBorder="1" applyAlignment="1">
      <alignment horizontal="center" vertical="center" wrapText="1"/>
    </xf>
    <xf numFmtId="17" fontId="5" fillId="5" borderId="10" xfId="0" applyNumberFormat="1" applyFont="1" applyFill="1" applyBorder="1" applyAlignment="1">
      <alignment horizontal="center" vertical="center"/>
    </xf>
    <xf numFmtId="3" fontId="6" fillId="5" borderId="11" xfId="0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17" fontId="5" fillId="6" borderId="13" xfId="0" applyNumberFormat="1" applyFont="1" applyFill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3" fontId="6" fillId="7" borderId="15" xfId="0" applyNumberFormat="1" applyFont="1" applyFill="1" applyBorder="1" applyAlignment="1">
      <alignment horizontal="center" vertical="center"/>
    </xf>
    <xf numFmtId="44" fontId="5" fillId="6" borderId="16" xfId="1" applyFont="1" applyFill="1" applyBorder="1" applyAlignment="1">
      <alignment horizontal="center" vertical="center"/>
    </xf>
    <xf numFmtId="3" fontId="6" fillId="0" borderId="17" xfId="0" applyNumberFormat="1" applyFont="1" applyBorder="1" applyAlignment="1">
      <alignment horizontal="center" vertical="center"/>
    </xf>
    <xf numFmtId="3" fontId="6" fillId="7" borderId="18" xfId="0" applyNumberFormat="1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17" fontId="5" fillId="6" borderId="16" xfId="0" applyNumberFormat="1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/>
    </xf>
    <xf numFmtId="3" fontId="6" fillId="7" borderId="21" xfId="0" applyNumberFormat="1" applyFont="1" applyFill="1" applyBorder="1" applyAlignment="1">
      <alignment horizontal="center" vertical="center"/>
    </xf>
    <xf numFmtId="17" fontId="4" fillId="4" borderId="23" xfId="0" applyNumberFormat="1" applyFont="1" applyFill="1" applyBorder="1" applyAlignment="1">
      <alignment horizontal="center" vertical="center" wrapText="1"/>
    </xf>
    <xf numFmtId="3" fontId="6" fillId="5" borderId="24" xfId="0" applyNumberFormat="1" applyFont="1" applyFill="1" applyBorder="1" applyAlignment="1">
      <alignment horizontal="center" vertical="center"/>
    </xf>
    <xf numFmtId="10" fontId="6" fillId="0" borderId="25" xfId="2" applyNumberFormat="1" applyFont="1" applyBorder="1" applyAlignment="1">
      <alignment horizontal="center" vertical="center"/>
    </xf>
    <xf numFmtId="10" fontId="6" fillId="0" borderId="26" xfId="2" applyNumberFormat="1" applyFont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10" fontId="4" fillId="8" borderId="17" xfId="0" applyNumberFormat="1" applyFont="1" applyFill="1" applyBorder="1" applyAlignment="1">
      <alignment horizontal="center" vertical="center"/>
    </xf>
    <xf numFmtId="17" fontId="5" fillId="5" borderId="13" xfId="0" applyNumberFormat="1" applyFont="1" applyFill="1" applyBorder="1" applyAlignment="1">
      <alignment horizontal="center" vertical="center"/>
    </xf>
    <xf numFmtId="3" fontId="6" fillId="5" borderId="14" xfId="0" applyNumberFormat="1" applyFont="1" applyFill="1" applyBorder="1" applyAlignment="1">
      <alignment horizontal="center" vertical="center"/>
    </xf>
    <xf numFmtId="3" fontId="6" fillId="5" borderId="15" xfId="0" applyNumberFormat="1" applyFont="1" applyFill="1" applyBorder="1" applyAlignment="1">
      <alignment horizontal="center" vertical="center"/>
    </xf>
    <xf numFmtId="44" fontId="6" fillId="5" borderId="27" xfId="1" applyFont="1" applyFill="1" applyBorder="1" applyAlignment="1">
      <alignment horizontal="center" vertical="center"/>
    </xf>
    <xf numFmtId="3" fontId="6" fillId="7" borderId="28" xfId="0" applyNumberFormat="1" applyFont="1" applyFill="1" applyBorder="1" applyAlignment="1">
      <alignment horizontal="center" vertical="center"/>
    </xf>
    <xf numFmtId="10" fontId="6" fillId="0" borderId="29" xfId="2" applyNumberFormat="1" applyFont="1" applyBorder="1" applyAlignment="1">
      <alignment horizontal="center" vertical="center"/>
    </xf>
    <xf numFmtId="1" fontId="7" fillId="0" borderId="24" xfId="1" applyNumberFormat="1" applyFont="1" applyBorder="1" applyAlignment="1">
      <alignment horizontal="center" vertical="center"/>
    </xf>
    <xf numFmtId="1" fontId="7" fillId="0" borderId="25" xfId="1" applyNumberFormat="1" applyFont="1" applyBorder="1" applyAlignment="1">
      <alignment horizontal="center" vertical="center"/>
    </xf>
    <xf numFmtId="17" fontId="4" fillId="3" borderId="6" xfId="0" applyNumberFormat="1" applyFont="1" applyFill="1" applyBorder="1" applyAlignment="1">
      <alignment horizontal="center" vertical="center" wrapText="1"/>
    </xf>
    <xf numFmtId="17" fontId="4" fillId="3" borderId="2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" fontId="4" fillId="3" borderId="7" xfId="0" applyNumberFormat="1" applyFont="1" applyFill="1" applyBorder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00000000-0005-0000-0000-000031000000}"/>
    <cellStyle name="Porcentagem" xfId="2" builtinId="5"/>
  </cellStyles>
  <dxfs count="0"/>
  <tableStyles count="0" defaultTableStyle="TableStyleMedium2" defaultPivotStyle="PivotStyleLight16"/>
  <colors>
    <mruColors>
      <color rgb="FF20178A"/>
      <color rgb="FFF9F9F9"/>
      <color rgb="FF3366CC"/>
      <color rgb="FFFDD155"/>
      <color rgb="FFF6B85C"/>
      <color rgb="FF2BCBEE"/>
      <color rgb="FFBD92DE"/>
      <color rgb="FFDC72B9"/>
      <color rgb="FFE2E2E2"/>
      <color rgb="FFE9E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TURNOVER SUBSTITUIÇÃO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'TURNOVER SUBSTITUIÇÃO'!$J$24</c:f>
              <c:strCache>
                <c:ptCount val="1"/>
                <c:pt idx="0">
                  <c:v>TURNOVER (SUBSTITUIÇÃO)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LT Std 45 Book" panose="020B0502020203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'TURNOVER SUBSTITUIÇÃO'!$D$26:$D$37</c:f>
              <c:strCache>
                <c:ptCount val="12"/>
                <c:pt idx="0">
                  <c:v>JANEIRO</c:v>
                </c:pt>
                <c:pt idx="1">
                  <c:v> FEVEREIRO </c:v>
                </c:pt>
                <c:pt idx="2">
                  <c:v>MARÇO</c:v>
                </c:pt>
                <c:pt idx="3">
                  <c:v>ABRIL</c:v>
                </c:pt>
                <c:pt idx="4">
                  <c:v> MAIO </c:v>
                </c:pt>
                <c:pt idx="5">
                  <c:v>JUNHO</c:v>
                </c:pt>
                <c:pt idx="6">
                  <c:v>JULHO</c:v>
                </c:pt>
                <c:pt idx="7">
                  <c:v> AGOSTO </c:v>
                </c:pt>
                <c:pt idx="8">
                  <c:v>SETEMBRO</c:v>
                </c:pt>
                <c:pt idx="9">
                  <c:v>OUTUBRO</c:v>
                </c:pt>
                <c:pt idx="10">
                  <c:v> NOVEMBRO </c:v>
                </c:pt>
                <c:pt idx="11">
                  <c:v>DEZEMBRO</c:v>
                </c:pt>
              </c:strCache>
            </c:strRef>
          </c:cat>
          <c:val>
            <c:numRef>
              <c:f>'TURNOVER SUBSTITUIÇÃO'!$J$26:$J$37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F-4278-809F-42B7F503067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7"/>
        <c:axId val="166384384"/>
        <c:axId val="166385920"/>
      </c:barChart>
      <c:catAx>
        <c:axId val="16638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6385920"/>
        <c:crosses val="autoZero"/>
        <c:auto val="1"/>
        <c:lblAlgn val="ctr"/>
        <c:lblOffset val="100"/>
        <c:noMultiLvlLbl val="0"/>
      </c:catAx>
      <c:valAx>
        <c:axId val="16638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638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6d6775-404f-46eb-8895-f5f9acee9e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>
          <a:latin typeface="Avenir LT Std 45 Book" panose="020B0502020203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TURNOVER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'TURNOVER GLOBAL-2025'!$H$24</c:f>
              <c:strCache>
                <c:ptCount val="1"/>
                <c:pt idx="0">
                  <c:v>TURNOVER (GLOBAL)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LT Std 45 Book" panose="020B0502020203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'TURNOVER GLOBAL-2025'!$D$26:$D$37</c:f>
              <c:strCache>
                <c:ptCount val="12"/>
                <c:pt idx="0">
                  <c:v>JANEIRO</c:v>
                </c:pt>
                <c:pt idx="1">
                  <c:v> FEVEREIRO </c:v>
                </c:pt>
                <c:pt idx="2">
                  <c:v>MARÇO</c:v>
                </c:pt>
                <c:pt idx="3">
                  <c:v>ABRIL</c:v>
                </c:pt>
                <c:pt idx="4">
                  <c:v> MAIO </c:v>
                </c:pt>
                <c:pt idx="5">
                  <c:v>JUNHO</c:v>
                </c:pt>
                <c:pt idx="6">
                  <c:v>JULHO</c:v>
                </c:pt>
                <c:pt idx="7">
                  <c:v> AGOSTO </c:v>
                </c:pt>
                <c:pt idx="8">
                  <c:v>SETEMBRO</c:v>
                </c:pt>
                <c:pt idx="9">
                  <c:v>OUTUBRO</c:v>
                </c:pt>
                <c:pt idx="10">
                  <c:v> NOVEMBRO </c:v>
                </c:pt>
                <c:pt idx="11">
                  <c:v>DEZEMBRO</c:v>
                </c:pt>
              </c:strCache>
            </c:strRef>
          </c:cat>
          <c:val>
            <c:numRef>
              <c:f>'TURNOVER GLOBAL-2025'!$H$26:$H$37</c:f>
              <c:numCache>
                <c:formatCode>0.00%</c:formatCode>
                <c:ptCount val="12"/>
                <c:pt idx="0">
                  <c:v>0.13888888888888901</c:v>
                </c:pt>
                <c:pt idx="1">
                  <c:v>8.1018518518518504E-2</c:v>
                </c:pt>
                <c:pt idx="2">
                  <c:v>0.12676056338028199</c:v>
                </c:pt>
                <c:pt idx="3">
                  <c:v>9.6244131455399104E-2</c:v>
                </c:pt>
                <c:pt idx="4">
                  <c:v>9.34579439252336E-2</c:v>
                </c:pt>
                <c:pt idx="5">
                  <c:v>5.63380281690141E-2</c:v>
                </c:pt>
                <c:pt idx="6">
                  <c:v>5.2380952380952403E-2</c:v>
                </c:pt>
                <c:pt idx="7">
                  <c:v>8.8095238095238101E-2</c:v>
                </c:pt>
                <c:pt idx="8">
                  <c:v>5.52763819095477E-2</c:v>
                </c:pt>
                <c:pt idx="9">
                  <c:v>7.06806282722513E-2</c:v>
                </c:pt>
                <c:pt idx="10">
                  <c:v>6.7204301075268799E-2</c:v>
                </c:pt>
                <c:pt idx="11">
                  <c:v>3.8659793814432998E-2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A-4521-9200-AADD1BF8B5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7"/>
        <c:axId val="165659776"/>
        <c:axId val="165661312"/>
      </c:barChart>
      <c:catAx>
        <c:axId val="165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61312"/>
        <c:crosses val="autoZero"/>
        <c:auto val="1"/>
        <c:lblAlgn val="ctr"/>
        <c:lblOffset val="100"/>
        <c:noMultiLvlLbl val="0"/>
      </c:catAx>
      <c:valAx>
        <c:axId val="165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5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442228-3ce7-4dc5-9d5e-04fcbfe590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>
          <a:latin typeface="Avenir LT Std 45 Book" panose="020B0502020203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TURNOVER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'TURNOVER GLOBAL-2025'!$H$24</c:f>
              <c:strCache>
                <c:ptCount val="1"/>
                <c:pt idx="0">
                  <c:v>TURNOVER (GLOBAL)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LT Std 45 Book" panose="020B0502020203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'TURNOVER GLOBAL-2025'!$D$26:$D$37</c:f>
              <c:strCache>
                <c:ptCount val="12"/>
                <c:pt idx="0">
                  <c:v>JANEIRO</c:v>
                </c:pt>
                <c:pt idx="1">
                  <c:v> FEVEREIRO </c:v>
                </c:pt>
                <c:pt idx="2">
                  <c:v>MARÇO</c:v>
                </c:pt>
                <c:pt idx="3">
                  <c:v>ABRIL</c:v>
                </c:pt>
                <c:pt idx="4">
                  <c:v> MAIO </c:v>
                </c:pt>
                <c:pt idx="5">
                  <c:v>JUNHO</c:v>
                </c:pt>
                <c:pt idx="6">
                  <c:v>JULHO</c:v>
                </c:pt>
                <c:pt idx="7">
                  <c:v> AGOSTO </c:v>
                </c:pt>
                <c:pt idx="8">
                  <c:v>SETEMBRO</c:v>
                </c:pt>
                <c:pt idx="9">
                  <c:v>OUTUBRO</c:v>
                </c:pt>
                <c:pt idx="10">
                  <c:v> NOVEMBRO </c:v>
                </c:pt>
                <c:pt idx="11">
                  <c:v>DEZEMBRO</c:v>
                </c:pt>
              </c:strCache>
            </c:strRef>
          </c:cat>
          <c:val>
            <c:numRef>
              <c:f>'TURNOVER GLOBAL-2025'!$H$26:$H$37</c:f>
              <c:numCache>
                <c:formatCode>0.00%</c:formatCode>
                <c:ptCount val="12"/>
                <c:pt idx="0">
                  <c:v>0.13888888888888901</c:v>
                </c:pt>
                <c:pt idx="1">
                  <c:v>8.1018518518518504E-2</c:v>
                </c:pt>
                <c:pt idx="2">
                  <c:v>0.12676056338028199</c:v>
                </c:pt>
                <c:pt idx="3">
                  <c:v>9.6244131455399104E-2</c:v>
                </c:pt>
                <c:pt idx="4">
                  <c:v>9.34579439252336E-2</c:v>
                </c:pt>
                <c:pt idx="5">
                  <c:v>5.63380281690141E-2</c:v>
                </c:pt>
                <c:pt idx="6">
                  <c:v>5.2380952380952403E-2</c:v>
                </c:pt>
                <c:pt idx="7">
                  <c:v>8.8095238095238101E-2</c:v>
                </c:pt>
                <c:pt idx="8">
                  <c:v>5.52763819095477E-2</c:v>
                </c:pt>
                <c:pt idx="9">
                  <c:v>7.06806282722513E-2</c:v>
                </c:pt>
                <c:pt idx="10">
                  <c:v>6.7204301075268799E-2</c:v>
                </c:pt>
                <c:pt idx="11">
                  <c:v>3.8659793814432998E-2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0-479D-BC67-A38616A6AB1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7"/>
        <c:axId val="165659776"/>
        <c:axId val="165661312"/>
      </c:barChart>
      <c:catAx>
        <c:axId val="165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61312"/>
        <c:crosses val="autoZero"/>
        <c:auto val="1"/>
        <c:lblAlgn val="ctr"/>
        <c:lblOffset val="100"/>
        <c:noMultiLvlLbl val="0"/>
      </c:catAx>
      <c:valAx>
        <c:axId val="165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5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442228-3ce7-4dc5-9d5e-04fcbfe590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>
          <a:latin typeface="Avenir LT Std 45 Book" panose="020B0502020203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TURNOVER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'TURNOVER GLOBAL-2025'!$H$24</c:f>
              <c:strCache>
                <c:ptCount val="1"/>
                <c:pt idx="0">
                  <c:v>TURNOVER (GLOBAL)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LT Std 45 Book" panose="020B0502020203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'TURNOVER GLOBAL-2025'!$D$26:$D$37</c:f>
              <c:strCache>
                <c:ptCount val="12"/>
                <c:pt idx="0">
                  <c:v>JANEIRO</c:v>
                </c:pt>
                <c:pt idx="1">
                  <c:v> FEVEREIRO </c:v>
                </c:pt>
                <c:pt idx="2">
                  <c:v>MARÇO</c:v>
                </c:pt>
                <c:pt idx="3">
                  <c:v>ABRIL</c:v>
                </c:pt>
                <c:pt idx="4">
                  <c:v> MAIO </c:v>
                </c:pt>
                <c:pt idx="5">
                  <c:v>JUNHO</c:v>
                </c:pt>
                <c:pt idx="6">
                  <c:v>JULHO</c:v>
                </c:pt>
                <c:pt idx="7">
                  <c:v> AGOSTO </c:v>
                </c:pt>
                <c:pt idx="8">
                  <c:v>SETEMBRO</c:v>
                </c:pt>
                <c:pt idx="9">
                  <c:v>OUTUBRO</c:v>
                </c:pt>
                <c:pt idx="10">
                  <c:v> NOVEMBRO </c:v>
                </c:pt>
                <c:pt idx="11">
                  <c:v>DEZEMBRO</c:v>
                </c:pt>
              </c:strCache>
            </c:strRef>
          </c:cat>
          <c:val>
            <c:numRef>
              <c:f>'TURNOVER GLOBAL-2025'!$H$26:$H$37</c:f>
              <c:numCache>
                <c:formatCode>0.00%</c:formatCode>
                <c:ptCount val="12"/>
                <c:pt idx="0">
                  <c:v>0.13888888888888901</c:v>
                </c:pt>
                <c:pt idx="1">
                  <c:v>8.1018518518518504E-2</c:v>
                </c:pt>
                <c:pt idx="2">
                  <c:v>0.12676056338028199</c:v>
                </c:pt>
                <c:pt idx="3">
                  <c:v>9.6244131455399104E-2</c:v>
                </c:pt>
                <c:pt idx="4">
                  <c:v>9.34579439252336E-2</c:v>
                </c:pt>
                <c:pt idx="5">
                  <c:v>5.63380281690141E-2</c:v>
                </c:pt>
                <c:pt idx="6">
                  <c:v>5.2380952380952403E-2</c:v>
                </c:pt>
                <c:pt idx="7">
                  <c:v>8.8095238095238101E-2</c:v>
                </c:pt>
                <c:pt idx="8">
                  <c:v>5.52763819095477E-2</c:v>
                </c:pt>
                <c:pt idx="9">
                  <c:v>7.06806282722513E-2</c:v>
                </c:pt>
                <c:pt idx="10">
                  <c:v>6.7204301075268799E-2</c:v>
                </c:pt>
                <c:pt idx="11">
                  <c:v>3.8659793814432998E-2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5-4C96-8CB3-5599C81C91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7"/>
        <c:axId val="165659776"/>
        <c:axId val="165661312"/>
      </c:barChart>
      <c:catAx>
        <c:axId val="165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61312"/>
        <c:crosses val="autoZero"/>
        <c:auto val="1"/>
        <c:lblAlgn val="ctr"/>
        <c:lblOffset val="100"/>
        <c:noMultiLvlLbl val="0"/>
      </c:catAx>
      <c:valAx>
        <c:axId val="165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5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442228-3ce7-4dc5-9d5e-04fcbfe590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>
          <a:latin typeface="Avenir LT Std 45 Book" panose="020B0502020203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TURNOVER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'TURNOVER GLOBAL-2025'!$H$24</c:f>
              <c:strCache>
                <c:ptCount val="1"/>
                <c:pt idx="0">
                  <c:v>TURNOVER (GLOBAL)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LT Std 45 Book" panose="020B0502020203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'TURNOVER GLOBAL-2025'!$D$26:$D$37</c:f>
              <c:strCache>
                <c:ptCount val="12"/>
                <c:pt idx="0">
                  <c:v>JANEIRO</c:v>
                </c:pt>
                <c:pt idx="1">
                  <c:v> FEVEREIRO </c:v>
                </c:pt>
                <c:pt idx="2">
                  <c:v>MARÇO</c:v>
                </c:pt>
                <c:pt idx="3">
                  <c:v>ABRIL</c:v>
                </c:pt>
                <c:pt idx="4">
                  <c:v> MAIO </c:v>
                </c:pt>
                <c:pt idx="5">
                  <c:v>JUNHO</c:v>
                </c:pt>
                <c:pt idx="6">
                  <c:v>JULHO</c:v>
                </c:pt>
                <c:pt idx="7">
                  <c:v> AGOSTO </c:v>
                </c:pt>
                <c:pt idx="8">
                  <c:v>SETEMBRO</c:v>
                </c:pt>
                <c:pt idx="9">
                  <c:v>OUTUBRO</c:v>
                </c:pt>
                <c:pt idx="10">
                  <c:v> NOVEMBRO </c:v>
                </c:pt>
                <c:pt idx="11">
                  <c:v>DEZEMBRO</c:v>
                </c:pt>
              </c:strCache>
            </c:strRef>
          </c:cat>
          <c:val>
            <c:numRef>
              <c:f>'TURNOVER GLOBAL-2025'!$H$26:$H$37</c:f>
              <c:numCache>
                <c:formatCode>0.00%</c:formatCode>
                <c:ptCount val="12"/>
                <c:pt idx="0">
                  <c:v>0.13888888888888901</c:v>
                </c:pt>
                <c:pt idx="1">
                  <c:v>8.1018518518518504E-2</c:v>
                </c:pt>
                <c:pt idx="2">
                  <c:v>0.12676056338028199</c:v>
                </c:pt>
                <c:pt idx="3">
                  <c:v>9.6244131455399104E-2</c:v>
                </c:pt>
                <c:pt idx="4">
                  <c:v>9.34579439252336E-2</c:v>
                </c:pt>
                <c:pt idx="5">
                  <c:v>5.63380281690141E-2</c:v>
                </c:pt>
                <c:pt idx="6">
                  <c:v>5.2380952380952403E-2</c:v>
                </c:pt>
                <c:pt idx="7">
                  <c:v>8.8095238095238101E-2</c:v>
                </c:pt>
                <c:pt idx="8">
                  <c:v>5.52763819095477E-2</c:v>
                </c:pt>
                <c:pt idx="9">
                  <c:v>7.06806282722513E-2</c:v>
                </c:pt>
                <c:pt idx="10">
                  <c:v>6.7204301075268799E-2</c:v>
                </c:pt>
                <c:pt idx="11">
                  <c:v>3.8659793814432998E-2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4-4B6D-9124-497B10D2C9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7"/>
        <c:axId val="165659776"/>
        <c:axId val="165661312"/>
      </c:barChart>
      <c:catAx>
        <c:axId val="165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61312"/>
        <c:crosses val="autoZero"/>
        <c:auto val="1"/>
        <c:lblAlgn val="ctr"/>
        <c:lblOffset val="100"/>
        <c:noMultiLvlLbl val="0"/>
      </c:catAx>
      <c:valAx>
        <c:axId val="165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5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442228-3ce7-4dc5-9d5e-04fcbfe590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>
          <a:latin typeface="Avenir LT Std 45 Book" panose="020B0502020203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TURNOVER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'TURNOVER GLOBAL-2025'!$H$24</c:f>
              <c:strCache>
                <c:ptCount val="1"/>
                <c:pt idx="0">
                  <c:v>TURNOVER (GLOBAL)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LT Std 45 Book" panose="020B0502020203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'TURNOVER GLOBAL-2025'!$D$26:$D$37</c:f>
              <c:strCache>
                <c:ptCount val="12"/>
                <c:pt idx="0">
                  <c:v>JANEIRO</c:v>
                </c:pt>
                <c:pt idx="1">
                  <c:v> FEVEREIRO </c:v>
                </c:pt>
                <c:pt idx="2">
                  <c:v>MARÇO</c:v>
                </c:pt>
                <c:pt idx="3">
                  <c:v>ABRIL</c:v>
                </c:pt>
                <c:pt idx="4">
                  <c:v> MAIO </c:v>
                </c:pt>
                <c:pt idx="5">
                  <c:v>JUNHO</c:v>
                </c:pt>
                <c:pt idx="6">
                  <c:v>JULHO</c:v>
                </c:pt>
                <c:pt idx="7">
                  <c:v> AGOSTO </c:v>
                </c:pt>
                <c:pt idx="8">
                  <c:v>SETEMBRO</c:v>
                </c:pt>
                <c:pt idx="9">
                  <c:v>OUTUBRO</c:v>
                </c:pt>
                <c:pt idx="10">
                  <c:v> NOVEMBRO </c:v>
                </c:pt>
                <c:pt idx="11">
                  <c:v>DEZEMBRO</c:v>
                </c:pt>
              </c:strCache>
            </c:strRef>
          </c:cat>
          <c:val>
            <c:numRef>
              <c:f>'TURNOVER GLOBAL-2025'!$H$26:$H$37</c:f>
              <c:numCache>
                <c:formatCode>0.00%</c:formatCode>
                <c:ptCount val="12"/>
                <c:pt idx="0">
                  <c:v>0.13888888888888901</c:v>
                </c:pt>
                <c:pt idx="1">
                  <c:v>8.1018518518518504E-2</c:v>
                </c:pt>
                <c:pt idx="2">
                  <c:v>0.12676056338028199</c:v>
                </c:pt>
                <c:pt idx="3">
                  <c:v>9.6244131455399104E-2</c:v>
                </c:pt>
                <c:pt idx="4">
                  <c:v>9.34579439252336E-2</c:v>
                </c:pt>
                <c:pt idx="5">
                  <c:v>5.63380281690141E-2</c:v>
                </c:pt>
                <c:pt idx="6">
                  <c:v>5.2380952380952403E-2</c:v>
                </c:pt>
                <c:pt idx="7">
                  <c:v>8.8095238095238101E-2</c:v>
                </c:pt>
                <c:pt idx="8">
                  <c:v>5.52763819095477E-2</c:v>
                </c:pt>
                <c:pt idx="9">
                  <c:v>7.06806282722513E-2</c:v>
                </c:pt>
                <c:pt idx="10">
                  <c:v>6.7204301075268799E-2</c:v>
                </c:pt>
                <c:pt idx="11">
                  <c:v>3.8659793814432998E-2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4-4FA7-94DA-1203729C6E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7"/>
        <c:axId val="165659776"/>
        <c:axId val="165661312"/>
      </c:barChart>
      <c:catAx>
        <c:axId val="165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61312"/>
        <c:crosses val="autoZero"/>
        <c:auto val="1"/>
        <c:lblAlgn val="ctr"/>
        <c:lblOffset val="100"/>
        <c:noMultiLvlLbl val="0"/>
      </c:catAx>
      <c:valAx>
        <c:axId val="165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5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442228-3ce7-4dc5-9d5e-04fcbfe590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>
          <a:latin typeface="Avenir LT Std 45 Book" panose="020B0502020203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TURNOVER GLOBAL'!A1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'TURNOVER SUBSTITUI&#199;&#195;O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TURNOVER GLOBAL'!A1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#'TURNOVER SUBSTITUI&#199;&#195;O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TURNOVER GLOBAL'!A1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#'TURNOVER SUBSTITUI&#199;&#195;O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TURNOVER GLOBAL'!A1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#'TURNOVER SUBSTITUI&#199;&#195;O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TURNOVER GLOBAL'!A1"/><Relationship Id="rId2" Type="http://schemas.openxmlformats.org/officeDocument/2006/relationships/chart" Target="../charts/chart5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#'TURNOVER SUBSTITUI&#199;&#195;O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TURNOVER GLOBAL'!A1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#'TURNOVER SUBSTITUI&#199;&#195;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269874</xdr:colOff>
      <xdr:row>0</xdr:row>
      <xdr:rowOff>38365</xdr:rowOff>
    </xdr:from>
    <xdr:to>
      <xdr:col>12</xdr:col>
      <xdr:colOff>325172</xdr:colOff>
      <xdr:row>3</xdr:row>
      <xdr:rowOff>85990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82" t="3109" r="23689" b="67358"/>
        <a:stretch>
          <a:fillRect/>
        </a:stretch>
      </xdr:blipFill>
      <xdr:spPr>
        <a:xfrm>
          <a:off x="11937365" y="38100"/>
          <a:ext cx="3742055" cy="990600"/>
        </a:xfrm>
        <a:prstGeom prst="rect">
          <a:avLst/>
        </a:prstGeom>
      </xdr:spPr>
    </xdr:pic>
    <xdr:clientData/>
  </xdr:twoCellAnchor>
  <xdr:twoCellAnchor>
    <xdr:from>
      <xdr:col>3</xdr:col>
      <xdr:colOff>5952</xdr:colOff>
      <xdr:row>4</xdr:row>
      <xdr:rowOff>83343</xdr:rowOff>
    </xdr:from>
    <xdr:to>
      <xdr:col>9</xdr:col>
      <xdr:colOff>1750219</xdr:colOff>
      <xdr:row>20</xdr:row>
      <xdr:rowOff>250030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1735667</xdr:colOff>
      <xdr:row>5</xdr:row>
      <xdr:rowOff>294803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1200150"/>
          <a:ext cx="1735455" cy="294640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GLOBAL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0</xdr:colOff>
      <xdr:row>5</xdr:row>
      <xdr:rowOff>369094</xdr:rowOff>
    </xdr:from>
    <xdr:to>
      <xdr:col>0</xdr:col>
      <xdr:colOff>1735667</xdr:colOff>
      <xdr:row>7</xdr:row>
      <xdr:rowOff>9053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0" y="1569085"/>
          <a:ext cx="1735455" cy="287655"/>
        </a:xfrm>
        <a:prstGeom prst="roundRect">
          <a:avLst>
            <a:gd name="adj" fmla="val 5000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SUBSTITUIÇÃO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23811</xdr:colOff>
      <xdr:row>3</xdr:row>
      <xdr:rowOff>95250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947545" cy="1038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341311</xdr:colOff>
      <xdr:row>0</xdr:row>
      <xdr:rowOff>38365</xdr:rowOff>
    </xdr:from>
    <xdr:to>
      <xdr:col>11</xdr:col>
      <xdr:colOff>98953</xdr:colOff>
      <xdr:row>3</xdr:row>
      <xdr:rowOff>85990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82" t="3109" r="23689" b="67358"/>
        <a:stretch>
          <a:fillRect/>
        </a:stretch>
      </xdr:blipFill>
      <xdr:spPr>
        <a:xfrm>
          <a:off x="13028295" y="38100"/>
          <a:ext cx="3738880" cy="990600"/>
        </a:xfrm>
        <a:prstGeom prst="rect">
          <a:avLst/>
        </a:prstGeom>
      </xdr:spPr>
    </xdr:pic>
    <xdr:clientData/>
  </xdr:twoCellAnchor>
  <xdr:twoCellAnchor>
    <xdr:from>
      <xdr:col>3</xdr:col>
      <xdr:colOff>5952</xdr:colOff>
      <xdr:row>4</xdr:row>
      <xdr:rowOff>83343</xdr:rowOff>
    </xdr:from>
    <xdr:to>
      <xdr:col>8</xdr:col>
      <xdr:colOff>23812</xdr:colOff>
      <xdr:row>20</xdr:row>
      <xdr:rowOff>154780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1735667</xdr:colOff>
      <xdr:row>5</xdr:row>
      <xdr:rowOff>294803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1200150"/>
          <a:ext cx="1735455" cy="294640"/>
        </a:xfrm>
        <a:prstGeom prst="roundRect">
          <a:avLst>
            <a:gd name="adj" fmla="val 5000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GLOBAL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0</xdr:colOff>
      <xdr:row>5</xdr:row>
      <xdr:rowOff>369094</xdr:rowOff>
    </xdr:from>
    <xdr:to>
      <xdr:col>0</xdr:col>
      <xdr:colOff>1735667</xdr:colOff>
      <xdr:row>7</xdr:row>
      <xdr:rowOff>9053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1569085"/>
          <a:ext cx="1735455" cy="287655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SUBSTITUIÇÃO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11906</xdr:colOff>
      <xdr:row>3</xdr:row>
      <xdr:rowOff>83343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935480" cy="10261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341311</xdr:colOff>
      <xdr:row>0</xdr:row>
      <xdr:rowOff>38365</xdr:rowOff>
    </xdr:from>
    <xdr:to>
      <xdr:col>13</xdr:col>
      <xdr:colOff>289453</xdr:colOff>
      <xdr:row>6</xdr:row>
      <xdr:rowOff>57415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D8E975-6E88-4C72-A917-E52A8BE1E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82" t="3109" r="23689" b="67358"/>
        <a:stretch>
          <a:fillRect/>
        </a:stretch>
      </xdr:blipFill>
      <xdr:spPr>
        <a:xfrm>
          <a:off x="13028611" y="38365"/>
          <a:ext cx="3739092" cy="990600"/>
        </a:xfrm>
        <a:prstGeom prst="rect">
          <a:avLst/>
        </a:prstGeom>
      </xdr:spPr>
    </xdr:pic>
    <xdr:clientData/>
  </xdr:twoCellAnchor>
  <xdr:twoCellAnchor>
    <xdr:from>
      <xdr:col>3</xdr:col>
      <xdr:colOff>5952</xdr:colOff>
      <xdr:row>4</xdr:row>
      <xdr:rowOff>83343</xdr:rowOff>
    </xdr:from>
    <xdr:to>
      <xdr:col>8</xdr:col>
      <xdr:colOff>23812</xdr:colOff>
      <xdr:row>20</xdr:row>
      <xdr:rowOff>154780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ADED3C-030F-45B6-82EA-D38411BD3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1735667</xdr:colOff>
      <xdr:row>5</xdr:row>
      <xdr:rowOff>294803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30CB53F-EDFE-4D4C-97AE-774D399AC303}"/>
            </a:ext>
          </a:extLst>
        </xdr:cNvPr>
        <xdr:cNvSpPr/>
      </xdr:nvSpPr>
      <xdr:spPr>
        <a:xfrm>
          <a:off x="0" y="1200150"/>
          <a:ext cx="1735667" cy="294803"/>
        </a:xfrm>
        <a:prstGeom prst="roundRect">
          <a:avLst>
            <a:gd name="adj" fmla="val 5000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GLOBAL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0</xdr:colOff>
      <xdr:row>5</xdr:row>
      <xdr:rowOff>369094</xdr:rowOff>
    </xdr:from>
    <xdr:to>
      <xdr:col>0</xdr:col>
      <xdr:colOff>1735667</xdr:colOff>
      <xdr:row>7</xdr:row>
      <xdr:rowOff>9053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F6D658-6F5A-48A6-A1F5-621910E8EF98}"/>
            </a:ext>
          </a:extLst>
        </xdr:cNvPr>
        <xdr:cNvSpPr/>
      </xdr:nvSpPr>
      <xdr:spPr>
        <a:xfrm>
          <a:off x="0" y="1569244"/>
          <a:ext cx="1735667" cy="278134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SUBSTITUIÇÃO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1069181</xdr:colOff>
      <xdr:row>6</xdr:row>
      <xdr:rowOff>54768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B9E5661-E6B8-4910-AACE-0232EEBD8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935956" cy="10263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341311</xdr:colOff>
      <xdr:row>0</xdr:row>
      <xdr:rowOff>38365</xdr:rowOff>
    </xdr:from>
    <xdr:to>
      <xdr:col>16</xdr:col>
      <xdr:colOff>927628</xdr:colOff>
      <xdr:row>10</xdr:row>
      <xdr:rowOff>47890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A888DE5-5662-4182-96DA-CB61924CB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82" t="3109" r="23689" b="67358"/>
        <a:stretch>
          <a:fillRect/>
        </a:stretch>
      </xdr:blipFill>
      <xdr:spPr>
        <a:xfrm>
          <a:off x="13028611" y="38365"/>
          <a:ext cx="5853642" cy="1704975"/>
        </a:xfrm>
        <a:prstGeom prst="rect">
          <a:avLst/>
        </a:prstGeom>
      </xdr:spPr>
    </xdr:pic>
    <xdr:clientData/>
  </xdr:twoCellAnchor>
  <xdr:twoCellAnchor>
    <xdr:from>
      <xdr:col>3</xdr:col>
      <xdr:colOff>5952</xdr:colOff>
      <xdr:row>4</xdr:row>
      <xdr:rowOff>83343</xdr:rowOff>
    </xdr:from>
    <xdr:to>
      <xdr:col>8</xdr:col>
      <xdr:colOff>23812</xdr:colOff>
      <xdr:row>20</xdr:row>
      <xdr:rowOff>154780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3E536E-BB8B-4AC5-B01A-EBCEB0FAB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1735667</xdr:colOff>
      <xdr:row>5</xdr:row>
      <xdr:rowOff>294803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661C97C-6AAD-4EAF-9D62-8A5E16B3F3E7}"/>
            </a:ext>
          </a:extLst>
        </xdr:cNvPr>
        <xdr:cNvSpPr/>
      </xdr:nvSpPr>
      <xdr:spPr>
        <a:xfrm>
          <a:off x="0" y="1200150"/>
          <a:ext cx="1735667" cy="294803"/>
        </a:xfrm>
        <a:prstGeom prst="roundRect">
          <a:avLst>
            <a:gd name="adj" fmla="val 5000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GLOBAL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0</xdr:colOff>
      <xdr:row>5</xdr:row>
      <xdr:rowOff>369094</xdr:rowOff>
    </xdr:from>
    <xdr:to>
      <xdr:col>0</xdr:col>
      <xdr:colOff>1735667</xdr:colOff>
      <xdr:row>7</xdr:row>
      <xdr:rowOff>9053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3C3FB13-3A97-44D4-9EE7-12E132EE5F43}"/>
            </a:ext>
          </a:extLst>
        </xdr:cNvPr>
        <xdr:cNvSpPr/>
      </xdr:nvSpPr>
      <xdr:spPr>
        <a:xfrm>
          <a:off x="0" y="1569244"/>
          <a:ext cx="1735667" cy="278134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SUBSTITUIÇÃO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9525</xdr:colOff>
      <xdr:row>2</xdr:row>
      <xdr:rowOff>409575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8963AE4-400A-427C-AE85-60D9DCC88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933575" cy="923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341311</xdr:colOff>
      <xdr:row>0</xdr:row>
      <xdr:rowOff>38365</xdr:rowOff>
    </xdr:from>
    <xdr:to>
      <xdr:col>22</xdr:col>
      <xdr:colOff>441853</xdr:colOff>
      <xdr:row>13</xdr:row>
      <xdr:rowOff>143140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9FA521-6177-4C49-AB8B-963DCFC7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82" t="3109" r="23689" b="67358"/>
        <a:stretch>
          <a:fillRect/>
        </a:stretch>
      </xdr:blipFill>
      <xdr:spPr>
        <a:xfrm>
          <a:off x="13028611" y="38365"/>
          <a:ext cx="9377892" cy="2400300"/>
        </a:xfrm>
        <a:prstGeom prst="rect">
          <a:avLst/>
        </a:prstGeom>
      </xdr:spPr>
    </xdr:pic>
    <xdr:clientData/>
  </xdr:twoCellAnchor>
  <xdr:twoCellAnchor>
    <xdr:from>
      <xdr:col>3</xdr:col>
      <xdr:colOff>5952</xdr:colOff>
      <xdr:row>4</xdr:row>
      <xdr:rowOff>83343</xdr:rowOff>
    </xdr:from>
    <xdr:to>
      <xdr:col>8</xdr:col>
      <xdr:colOff>23812</xdr:colOff>
      <xdr:row>20</xdr:row>
      <xdr:rowOff>154780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BBAEC5-3F01-498D-85D2-293939F01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1735667</xdr:colOff>
      <xdr:row>5</xdr:row>
      <xdr:rowOff>294803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82DB6E-D5F2-4201-9496-9EDF95AC8726}"/>
            </a:ext>
          </a:extLst>
        </xdr:cNvPr>
        <xdr:cNvSpPr/>
      </xdr:nvSpPr>
      <xdr:spPr>
        <a:xfrm>
          <a:off x="0" y="1200150"/>
          <a:ext cx="1735667" cy="294803"/>
        </a:xfrm>
        <a:prstGeom prst="roundRect">
          <a:avLst>
            <a:gd name="adj" fmla="val 5000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GLOBAL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0</xdr:colOff>
      <xdr:row>5</xdr:row>
      <xdr:rowOff>369094</xdr:rowOff>
    </xdr:from>
    <xdr:to>
      <xdr:col>0</xdr:col>
      <xdr:colOff>1735667</xdr:colOff>
      <xdr:row>7</xdr:row>
      <xdr:rowOff>9053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DA09A2-D901-4680-AD52-C5312B771776}"/>
            </a:ext>
          </a:extLst>
        </xdr:cNvPr>
        <xdr:cNvSpPr/>
      </xdr:nvSpPr>
      <xdr:spPr>
        <a:xfrm>
          <a:off x="0" y="1569244"/>
          <a:ext cx="1735667" cy="278134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SUBSTITUIÇÃO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9525</xdr:colOff>
      <xdr:row>3</xdr:row>
      <xdr:rowOff>9524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E4AD16C-43A6-430D-A260-C55754FB0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933575" cy="9524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341311</xdr:colOff>
      <xdr:row>0</xdr:row>
      <xdr:rowOff>38365</xdr:rowOff>
    </xdr:from>
    <xdr:to>
      <xdr:col>31</xdr:col>
      <xdr:colOff>241828</xdr:colOff>
      <xdr:row>17</xdr:row>
      <xdr:rowOff>38365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6F84F6-79D0-4004-86AE-D44CBA293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82" t="3109" r="23689" b="67358"/>
        <a:stretch>
          <a:fillRect/>
        </a:stretch>
      </xdr:blipFill>
      <xdr:spPr>
        <a:xfrm>
          <a:off x="13028611" y="38365"/>
          <a:ext cx="14664267" cy="3095625"/>
        </a:xfrm>
        <a:prstGeom prst="rect">
          <a:avLst/>
        </a:prstGeom>
      </xdr:spPr>
    </xdr:pic>
    <xdr:clientData/>
  </xdr:twoCellAnchor>
  <xdr:twoCellAnchor>
    <xdr:from>
      <xdr:col>3</xdr:col>
      <xdr:colOff>5952</xdr:colOff>
      <xdr:row>4</xdr:row>
      <xdr:rowOff>83343</xdr:rowOff>
    </xdr:from>
    <xdr:to>
      <xdr:col>8</xdr:col>
      <xdr:colOff>23812</xdr:colOff>
      <xdr:row>20</xdr:row>
      <xdr:rowOff>154780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7164D6-8BFF-48F3-B617-3C9B9960A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1735667</xdr:colOff>
      <xdr:row>5</xdr:row>
      <xdr:rowOff>294803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CF93C6-21BC-4672-BB76-70C8DBEB6353}"/>
            </a:ext>
          </a:extLst>
        </xdr:cNvPr>
        <xdr:cNvSpPr/>
      </xdr:nvSpPr>
      <xdr:spPr>
        <a:xfrm>
          <a:off x="0" y="1200150"/>
          <a:ext cx="1735667" cy="294803"/>
        </a:xfrm>
        <a:prstGeom prst="roundRect">
          <a:avLst>
            <a:gd name="adj" fmla="val 5000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GLOBAL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0</xdr:colOff>
      <xdr:row>5</xdr:row>
      <xdr:rowOff>369094</xdr:rowOff>
    </xdr:from>
    <xdr:to>
      <xdr:col>0</xdr:col>
      <xdr:colOff>1735667</xdr:colOff>
      <xdr:row>7</xdr:row>
      <xdr:rowOff>9053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B75B49-A425-44FC-B69E-833E619B88A1}"/>
            </a:ext>
          </a:extLst>
        </xdr:cNvPr>
        <xdr:cNvSpPr/>
      </xdr:nvSpPr>
      <xdr:spPr>
        <a:xfrm>
          <a:off x="0" y="1569244"/>
          <a:ext cx="1735667" cy="278134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SUBSTITUIÇÃO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19050</xdr:colOff>
      <xdr:row>2</xdr:row>
      <xdr:rowOff>409575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C469BD5-EEDA-4155-9824-D1EC6E19A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943100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showGridLines="0" workbookViewId="0"/>
  </sheetViews>
  <sheetFormatPr defaultColWidth="9.140625" defaultRowHeight="12"/>
  <cols>
    <col min="1" max="16384" width="9.140625" style="2"/>
  </cols>
  <sheetData>
    <row r="1" spans="1:3" ht="13.5">
      <c r="A1" s="2" t="s">
        <v>0</v>
      </c>
      <c r="C1" s="31" t="s">
        <v>1</v>
      </c>
    </row>
    <row r="2" spans="1:3" ht="13.5">
      <c r="A2" s="2" t="s">
        <v>2</v>
      </c>
      <c r="C2" s="32" t="s">
        <v>3</v>
      </c>
    </row>
    <row r="3" spans="1:3" ht="13.5">
      <c r="A3" s="2" t="s">
        <v>4</v>
      </c>
      <c r="C3" s="3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38"/>
  <sheetViews>
    <sheetView showGridLines="0" zoomScale="80" zoomScaleNormal="80" workbookViewId="0">
      <pane ySplit="4" topLeftCell="A5" activePane="bottomLeft" state="frozen"/>
      <selection pane="bottomLeft" activeCell="N14" sqref="N14"/>
    </sheetView>
  </sheetViews>
  <sheetFormatPr defaultColWidth="14.42578125" defaultRowHeight="15.75" customHeight="1"/>
  <cols>
    <col min="1" max="1" width="26.5703125" style="1" customWidth="1"/>
    <col min="2" max="2" width="2.28515625" style="2" customWidth="1"/>
    <col min="3" max="3" width="16.42578125" style="2" customWidth="1"/>
    <col min="4" max="4" width="17.140625" style="2" customWidth="1"/>
    <col min="5" max="6" width="20.42578125" style="2" customWidth="1"/>
    <col min="7" max="7" width="22" style="2" customWidth="1"/>
    <col min="8" max="8" width="24.42578125" style="2" customWidth="1"/>
    <col min="9" max="9" width="25.28515625" style="2" customWidth="1"/>
    <col min="10" max="10" width="26.42578125" style="2" customWidth="1"/>
    <col min="11" max="16384" width="14.42578125" style="2"/>
  </cols>
  <sheetData>
    <row r="1" spans="1:10" s="1" customFormat="1" ht="33.75" customHeight="1">
      <c r="A1" s="35" t="s">
        <v>5</v>
      </c>
      <c r="B1" s="36"/>
      <c r="C1" s="41" t="s">
        <v>26</v>
      </c>
      <c r="D1" s="42"/>
      <c r="E1" s="42"/>
      <c r="F1" s="42"/>
      <c r="G1" s="42"/>
      <c r="H1" s="42"/>
      <c r="I1" s="42"/>
      <c r="J1" s="42"/>
    </row>
    <row r="2" spans="1:10" s="1" customFormat="1" ht="6.75" customHeight="1">
      <c r="A2" s="37"/>
      <c r="B2" s="38"/>
      <c r="C2" s="41"/>
      <c r="D2" s="42"/>
      <c r="E2" s="42"/>
      <c r="F2" s="42"/>
      <c r="G2" s="42"/>
      <c r="H2" s="42"/>
      <c r="I2" s="42"/>
      <c r="J2" s="42"/>
    </row>
    <row r="3" spans="1:10" s="1" customFormat="1" ht="33.75" customHeight="1">
      <c r="A3" s="39"/>
      <c r="B3" s="40"/>
      <c r="C3" s="41"/>
      <c r="D3" s="42"/>
      <c r="E3" s="42"/>
      <c r="F3" s="42"/>
      <c r="G3" s="42"/>
      <c r="H3" s="42"/>
      <c r="I3" s="42"/>
      <c r="J3" s="42"/>
    </row>
    <row r="4" spans="1:10" s="1" customFormat="1" ht="9" customHeight="1"/>
    <row r="5" spans="1:10" ht="11.25" customHeight="1"/>
    <row r="6" spans="1:10" ht="38.25" customHeight="1"/>
    <row r="7" spans="1:10" ht="12"/>
    <row r="8" spans="1:10" ht="12"/>
    <row r="21" spans="4:10" ht="19.5" customHeight="1"/>
    <row r="22" spans="4:10" ht="12"/>
    <row r="23" spans="4:10" ht="15.75" customHeight="1">
      <c r="F23" s="33" t="s">
        <v>7</v>
      </c>
      <c r="G23" s="43"/>
      <c r="H23" s="43"/>
      <c r="I23" s="34"/>
    </row>
    <row r="24" spans="4:10" ht="28.5">
      <c r="D24" s="3" t="s">
        <v>8</v>
      </c>
      <c r="E24" s="4" t="s">
        <v>9</v>
      </c>
      <c r="F24" s="4" t="s">
        <v>27</v>
      </c>
      <c r="G24" s="4" t="s">
        <v>28</v>
      </c>
      <c r="H24" s="4" t="s">
        <v>29</v>
      </c>
      <c r="I24" s="4" t="s">
        <v>30</v>
      </c>
      <c r="J24" s="19" t="s">
        <v>31</v>
      </c>
    </row>
    <row r="25" spans="4:10" ht="15.75" customHeight="1">
      <c r="D25" s="5" t="s">
        <v>13</v>
      </c>
      <c r="E25" s="6"/>
      <c r="F25" s="6"/>
      <c r="G25" s="7"/>
      <c r="H25" s="6"/>
      <c r="I25" s="7"/>
      <c r="J25" s="20"/>
    </row>
    <row r="26" spans="4:10" ht="15.75" customHeight="1">
      <c r="D26" s="8" t="s">
        <v>14</v>
      </c>
      <c r="E26" s="9"/>
      <c r="F26" s="10"/>
      <c r="G26" s="9"/>
      <c r="H26" s="10"/>
      <c r="I26" s="9"/>
      <c r="J26" s="21" t="e">
        <f>((F26+H26)/2)/E25</f>
        <v>#DIV/0!</v>
      </c>
    </row>
    <row r="27" spans="4:10" ht="15.75" customHeight="1">
      <c r="D27" s="11" t="s">
        <v>15</v>
      </c>
      <c r="E27" s="12"/>
      <c r="F27" s="13"/>
      <c r="G27" s="12"/>
      <c r="H27" s="13"/>
      <c r="I27" s="12"/>
      <c r="J27" s="21" t="e">
        <f>((F27+H27)/2)/E26</f>
        <v>#DIV/0!</v>
      </c>
    </row>
    <row r="28" spans="4:10" ht="15.75" customHeight="1">
      <c r="D28" s="14" t="s">
        <v>16</v>
      </c>
      <c r="E28" s="12"/>
      <c r="F28" s="13"/>
      <c r="G28" s="12"/>
      <c r="H28" s="13"/>
      <c r="I28" s="12"/>
      <c r="J28" s="21" t="e">
        <f t="shared" ref="J28:J29" si="0">((F28+H28)/2)/E27</f>
        <v>#DIV/0!</v>
      </c>
    </row>
    <row r="29" spans="4:10" ht="15.75" customHeight="1">
      <c r="D29" s="15" t="s">
        <v>17</v>
      </c>
      <c r="E29" s="12"/>
      <c r="F29" s="13"/>
      <c r="G29" s="12"/>
      <c r="H29" s="13"/>
      <c r="I29" s="12"/>
      <c r="J29" s="21" t="e">
        <f t="shared" si="0"/>
        <v>#DIV/0!</v>
      </c>
    </row>
    <row r="30" spans="4:10" ht="15.75" customHeight="1">
      <c r="D30" s="11" t="s">
        <v>18</v>
      </c>
      <c r="E30" s="12"/>
      <c r="F30" s="13"/>
      <c r="G30" s="12"/>
      <c r="H30" s="13"/>
      <c r="I30" s="12"/>
      <c r="J30" s="21" t="e">
        <f t="shared" ref="J30:J37" si="1">((F30+H30)/2)/E29</f>
        <v>#DIV/0!</v>
      </c>
    </row>
    <row r="31" spans="4:10" ht="15.75" customHeight="1">
      <c r="D31" s="14" t="s">
        <v>19</v>
      </c>
      <c r="E31" s="12"/>
      <c r="F31" s="13"/>
      <c r="G31" s="12"/>
      <c r="H31" s="13"/>
      <c r="I31" s="12"/>
      <c r="J31" s="21" t="e">
        <f t="shared" si="1"/>
        <v>#DIV/0!</v>
      </c>
    </row>
    <row r="32" spans="4:10" ht="15.75" customHeight="1">
      <c r="D32" s="15" t="s">
        <v>20</v>
      </c>
      <c r="E32" s="12"/>
      <c r="F32" s="13"/>
      <c r="G32" s="12"/>
      <c r="H32" s="13"/>
      <c r="I32" s="12"/>
      <c r="J32" s="21" t="e">
        <f t="shared" si="1"/>
        <v>#DIV/0!</v>
      </c>
    </row>
    <row r="33" spans="4:10" ht="15.75" customHeight="1">
      <c r="D33" s="11" t="s">
        <v>21</v>
      </c>
      <c r="E33" s="12"/>
      <c r="F33" s="13"/>
      <c r="G33" s="12"/>
      <c r="H33" s="13"/>
      <c r="I33" s="12"/>
      <c r="J33" s="21" t="e">
        <f t="shared" si="1"/>
        <v>#DIV/0!</v>
      </c>
    </row>
    <row r="34" spans="4:10" ht="15.75" customHeight="1">
      <c r="D34" s="14" t="s">
        <v>22</v>
      </c>
      <c r="E34" s="12"/>
      <c r="F34" s="13"/>
      <c r="G34" s="12"/>
      <c r="H34" s="13"/>
      <c r="I34" s="12"/>
      <c r="J34" s="21" t="e">
        <f t="shared" si="1"/>
        <v>#DIV/0!</v>
      </c>
    </row>
    <row r="35" spans="4:10" ht="15.75" customHeight="1">
      <c r="D35" s="15" t="s">
        <v>23</v>
      </c>
      <c r="E35" s="12"/>
      <c r="F35" s="13"/>
      <c r="G35" s="12"/>
      <c r="H35" s="13"/>
      <c r="I35" s="12"/>
      <c r="J35" s="21" t="e">
        <f t="shared" si="1"/>
        <v>#DIV/0!</v>
      </c>
    </row>
    <row r="36" spans="4:10" ht="15.75" customHeight="1">
      <c r="D36" s="11" t="s">
        <v>24</v>
      </c>
      <c r="E36" s="12"/>
      <c r="F36" s="13"/>
      <c r="G36" s="12"/>
      <c r="H36" s="13"/>
      <c r="I36" s="12"/>
      <c r="J36" s="21" t="e">
        <f t="shared" si="1"/>
        <v>#DIV/0!</v>
      </c>
    </row>
    <row r="37" spans="4:10" ht="15.75" customHeight="1">
      <c r="D37" s="16" t="s">
        <v>13</v>
      </c>
      <c r="E37" s="17"/>
      <c r="F37" s="18"/>
      <c r="G37" s="17"/>
      <c r="H37" s="18"/>
      <c r="I37" s="17"/>
      <c r="J37" s="22" t="e">
        <f t="shared" si="1"/>
        <v>#DIV/0!</v>
      </c>
    </row>
    <row r="38" spans="4:10" ht="19.5" customHeight="1">
      <c r="I38" s="23" t="s">
        <v>25</v>
      </c>
      <c r="J38" s="24" t="e">
        <f>SUM(J26:J37)</f>
        <v>#DIV/0!</v>
      </c>
    </row>
  </sheetData>
  <mergeCells count="3">
    <mergeCell ref="F23:I23"/>
    <mergeCell ref="A1:B3"/>
    <mergeCell ref="C1:J3"/>
  </mergeCell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outlinePr summaryBelow="0" summaryRight="0"/>
  </sheetPr>
  <dimension ref="A1:I38"/>
  <sheetViews>
    <sheetView showGridLines="0" tabSelected="1" zoomScale="80" zoomScaleNormal="80" workbookViewId="0">
      <pane ySplit="4" topLeftCell="A5" activePane="bottomLeft" state="frozen"/>
      <selection pane="bottomLeft" sqref="A1:XFD1048576"/>
    </sheetView>
  </sheetViews>
  <sheetFormatPr defaultColWidth="14.42578125" defaultRowHeight="15.75" customHeight="1"/>
  <cols>
    <col min="1" max="1" width="26.5703125" style="1" customWidth="1"/>
    <col min="2" max="2" width="2.28515625" style="2" customWidth="1"/>
    <col min="3" max="3" width="16.42578125" style="2" customWidth="1"/>
    <col min="4" max="8" width="29" style="2" customWidth="1"/>
    <col min="9" max="9" width="18.85546875" style="2" customWidth="1"/>
    <col min="10" max="10" width="26.42578125" style="2" customWidth="1"/>
    <col min="11" max="16384" width="14.42578125" style="2"/>
  </cols>
  <sheetData>
    <row r="1" spans="1:9" s="1" customFormat="1" ht="33.75" customHeight="1">
      <c r="A1" s="35" t="s">
        <v>5</v>
      </c>
      <c r="B1" s="36"/>
      <c r="C1" s="41" t="s">
        <v>6</v>
      </c>
      <c r="D1" s="42"/>
      <c r="E1" s="42"/>
      <c r="F1" s="42"/>
      <c r="G1" s="42"/>
      <c r="H1" s="42"/>
      <c r="I1" s="42"/>
    </row>
    <row r="2" spans="1:9" s="1" customFormat="1" ht="6.75" customHeight="1">
      <c r="A2" s="37"/>
      <c r="B2" s="38"/>
      <c r="C2" s="41"/>
      <c r="D2" s="42"/>
      <c r="E2" s="42"/>
      <c r="F2" s="42"/>
      <c r="G2" s="42"/>
      <c r="H2" s="42"/>
      <c r="I2" s="42"/>
    </row>
    <row r="3" spans="1:9" s="1" customFormat="1" ht="33.75" customHeight="1">
      <c r="A3" s="39"/>
      <c r="B3" s="40"/>
      <c r="C3" s="41"/>
      <c r="D3" s="42"/>
      <c r="E3" s="42"/>
      <c r="F3" s="42"/>
      <c r="G3" s="42"/>
      <c r="H3" s="42"/>
      <c r="I3" s="42"/>
    </row>
    <row r="4" spans="1:9" s="1" customFormat="1" ht="9" customHeight="1"/>
    <row r="5" spans="1:9" ht="11.25" customHeight="1"/>
    <row r="6" spans="1:9" ht="38.25" customHeight="1"/>
    <row r="7" spans="1:9" ht="12"/>
    <row r="8" spans="1:9" ht="12"/>
    <row r="21" spans="4:8" ht="19.5" customHeight="1"/>
    <row r="22" spans="4:8" ht="12"/>
    <row r="23" spans="4:8" ht="15.75" customHeight="1">
      <c r="F23" s="33" t="s">
        <v>7</v>
      </c>
      <c r="G23" s="34"/>
    </row>
    <row r="24" spans="4:8" ht="15.75" customHeight="1">
      <c r="D24" s="3" t="s">
        <v>8</v>
      </c>
      <c r="E24" s="4" t="s">
        <v>9</v>
      </c>
      <c r="F24" s="4" t="s">
        <v>10</v>
      </c>
      <c r="G24" s="4" t="s">
        <v>11</v>
      </c>
      <c r="H24" s="19" t="s">
        <v>12</v>
      </c>
    </row>
    <row r="25" spans="4:8" ht="15.75" customHeight="1">
      <c r="D25" s="25" t="s">
        <v>13</v>
      </c>
      <c r="E25" s="26">
        <v>216</v>
      </c>
      <c r="F25" s="26"/>
      <c r="G25" s="27"/>
      <c r="H25" s="28"/>
    </row>
    <row r="26" spans="4:8" ht="15.75" customHeight="1">
      <c r="D26" s="8" t="s">
        <v>14</v>
      </c>
      <c r="E26" s="9">
        <v>216</v>
      </c>
      <c r="F26" s="9">
        <v>40</v>
      </c>
      <c r="G26" s="10">
        <v>20</v>
      </c>
      <c r="H26" s="21">
        <f>((F26+G26)/2)/216</f>
        <v>0.13888888888888901</v>
      </c>
    </row>
    <row r="27" spans="4:8" ht="15.75" customHeight="1">
      <c r="D27" s="11" t="s">
        <v>15</v>
      </c>
      <c r="E27" s="12">
        <v>213</v>
      </c>
      <c r="F27" s="12">
        <v>16</v>
      </c>
      <c r="G27" s="13">
        <v>19</v>
      </c>
      <c r="H27" s="21">
        <f>((F27+G27)/2)/E26</f>
        <v>8.1018518518518504E-2</v>
      </c>
    </row>
    <row r="28" spans="4:8" ht="15.75" customHeight="1">
      <c r="D28" s="14" t="s">
        <v>16</v>
      </c>
      <c r="E28" s="12">
        <v>213</v>
      </c>
      <c r="F28" s="12">
        <v>28</v>
      </c>
      <c r="G28" s="13">
        <v>26</v>
      </c>
      <c r="H28" s="21">
        <f t="shared" ref="H28:H37" si="0">((F28+G28)/2)/E27</f>
        <v>0.12676056338028199</v>
      </c>
    </row>
    <row r="29" spans="4:8" ht="15.75" customHeight="1">
      <c r="D29" s="15" t="s">
        <v>17</v>
      </c>
      <c r="E29" s="12">
        <v>214</v>
      </c>
      <c r="F29" s="12">
        <v>24</v>
      </c>
      <c r="G29" s="13">
        <v>17</v>
      </c>
      <c r="H29" s="21">
        <f t="shared" si="0"/>
        <v>9.6244131455399104E-2</v>
      </c>
    </row>
    <row r="30" spans="4:8" ht="15.75" customHeight="1">
      <c r="D30" s="11" t="s">
        <v>18</v>
      </c>
      <c r="E30" s="12">
        <v>213</v>
      </c>
      <c r="F30" s="12">
        <v>18</v>
      </c>
      <c r="G30" s="13">
        <v>22</v>
      </c>
      <c r="H30" s="21">
        <f t="shared" si="0"/>
        <v>9.34579439252336E-2</v>
      </c>
    </row>
    <row r="31" spans="4:8" ht="15.75" customHeight="1">
      <c r="D31" s="14" t="s">
        <v>19</v>
      </c>
      <c r="E31" s="12">
        <v>210</v>
      </c>
      <c r="F31" s="12">
        <v>11</v>
      </c>
      <c r="G31" s="13">
        <v>13</v>
      </c>
      <c r="H31" s="21">
        <f t="shared" si="0"/>
        <v>5.63380281690141E-2</v>
      </c>
    </row>
    <row r="32" spans="4:8" ht="15.75" customHeight="1">
      <c r="D32" s="15" t="s">
        <v>20</v>
      </c>
      <c r="E32" s="12">
        <v>210</v>
      </c>
      <c r="F32" s="12">
        <v>11</v>
      </c>
      <c r="G32" s="13">
        <v>11</v>
      </c>
      <c r="H32" s="21">
        <f t="shared" si="0"/>
        <v>5.2380952380952403E-2</v>
      </c>
    </row>
    <row r="33" spans="4:8" ht="15.75" customHeight="1">
      <c r="D33" s="11" t="s">
        <v>21</v>
      </c>
      <c r="E33" s="12">
        <v>199</v>
      </c>
      <c r="F33" s="12">
        <v>12</v>
      </c>
      <c r="G33" s="13">
        <v>25</v>
      </c>
      <c r="H33" s="21">
        <f t="shared" si="0"/>
        <v>8.8095238095238101E-2</v>
      </c>
    </row>
    <row r="34" spans="4:8" ht="15.75" customHeight="1">
      <c r="D34" s="14" t="s">
        <v>22</v>
      </c>
      <c r="E34" s="12">
        <v>191</v>
      </c>
      <c r="F34" s="12">
        <v>7</v>
      </c>
      <c r="G34" s="13">
        <v>15</v>
      </c>
      <c r="H34" s="21">
        <f t="shared" si="0"/>
        <v>5.52763819095477E-2</v>
      </c>
    </row>
    <row r="35" spans="4:8" ht="15.75" customHeight="1">
      <c r="D35" s="15" t="s">
        <v>23</v>
      </c>
      <c r="E35" s="12">
        <v>186</v>
      </c>
      <c r="F35" s="12">
        <v>13</v>
      </c>
      <c r="G35" s="13">
        <v>14</v>
      </c>
      <c r="H35" s="21">
        <f t="shared" si="0"/>
        <v>7.06806282722513E-2</v>
      </c>
    </row>
    <row r="36" spans="4:8" ht="15.75" customHeight="1">
      <c r="D36" s="11" t="s">
        <v>24</v>
      </c>
      <c r="E36" s="12">
        <v>194</v>
      </c>
      <c r="F36" s="12">
        <v>18</v>
      </c>
      <c r="G36" s="13">
        <v>7</v>
      </c>
      <c r="H36" s="21">
        <f t="shared" si="0"/>
        <v>6.7204301075268799E-2</v>
      </c>
    </row>
    <row r="37" spans="4:8" ht="15.75" customHeight="1">
      <c r="D37" s="16" t="s">
        <v>13</v>
      </c>
      <c r="E37" s="17">
        <v>184</v>
      </c>
      <c r="F37" s="17">
        <v>1</v>
      </c>
      <c r="G37" s="29">
        <v>14</v>
      </c>
      <c r="H37" s="30">
        <f t="shared" si="0"/>
        <v>3.8659793814432998E-2</v>
      </c>
    </row>
    <row r="38" spans="4:8" ht="19.5" customHeight="1">
      <c r="G38" s="23" t="s">
        <v>25</v>
      </c>
      <c r="H38" s="24">
        <f>SUM(H26:H37)</f>
        <v>0.96500536988502705</v>
      </c>
    </row>
  </sheetData>
  <mergeCells count="3">
    <mergeCell ref="F23:G23"/>
    <mergeCell ref="A1:B3"/>
    <mergeCell ref="C1:I3"/>
  </mergeCell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7F4F3-6EE5-4755-85B8-8ED34B6C6A31}">
  <dimension ref="A1:I38"/>
  <sheetViews>
    <sheetView topLeftCell="A3" workbookViewId="0">
      <selection sqref="A1:XFD1048576"/>
    </sheetView>
  </sheetViews>
  <sheetFormatPr defaultColWidth="14.42578125" defaultRowHeight="15.75" customHeight="1"/>
  <cols>
    <col min="1" max="1" width="26.5703125" style="1" customWidth="1"/>
    <col min="2" max="2" width="2.28515625" style="2" customWidth="1"/>
    <col min="3" max="3" width="16.42578125" style="2" customWidth="1"/>
    <col min="4" max="8" width="29" style="2" customWidth="1"/>
    <col min="9" max="9" width="18.85546875" style="2" customWidth="1"/>
    <col min="10" max="10" width="26.42578125" style="2" customWidth="1"/>
    <col min="11" max="16384" width="14.42578125" style="2"/>
  </cols>
  <sheetData>
    <row r="1" spans="1:9" s="1" customFormat="1" ht="33.75" customHeight="1">
      <c r="A1" s="35" t="s">
        <v>5</v>
      </c>
      <c r="B1" s="36"/>
      <c r="C1" s="41" t="s">
        <v>6</v>
      </c>
      <c r="D1" s="42"/>
      <c r="E1" s="42"/>
      <c r="F1" s="42"/>
      <c r="G1" s="42"/>
      <c r="H1" s="42"/>
      <c r="I1" s="42"/>
    </row>
    <row r="2" spans="1:9" s="1" customFormat="1" ht="6.75" customHeight="1">
      <c r="A2" s="37"/>
      <c r="B2" s="38"/>
      <c r="C2" s="41"/>
      <c r="D2" s="42"/>
      <c r="E2" s="42"/>
      <c r="F2" s="42"/>
      <c r="G2" s="42"/>
      <c r="H2" s="42"/>
      <c r="I2" s="42"/>
    </row>
    <row r="3" spans="1:9" s="1" customFormat="1" ht="33.75" customHeight="1">
      <c r="A3" s="39"/>
      <c r="B3" s="40"/>
      <c r="C3" s="41"/>
      <c r="D3" s="42"/>
      <c r="E3" s="42"/>
      <c r="F3" s="42"/>
      <c r="G3" s="42"/>
      <c r="H3" s="42"/>
      <c r="I3" s="42"/>
    </row>
    <row r="4" spans="1:9" s="1" customFormat="1" ht="9" customHeight="1"/>
    <row r="5" spans="1:9" ht="11.25" customHeight="1"/>
    <row r="6" spans="1:9" ht="38.25" customHeight="1"/>
    <row r="7" spans="1:9" ht="12"/>
    <row r="8" spans="1:9" ht="12"/>
    <row r="21" spans="4:8" ht="19.5" customHeight="1"/>
    <row r="22" spans="4:8" ht="12.75" thickBot="1"/>
    <row r="23" spans="4:8" ht="15.75" customHeight="1" thickBot="1">
      <c r="F23" s="33" t="s">
        <v>7</v>
      </c>
      <c r="G23" s="34"/>
    </row>
    <row r="24" spans="4:8" ht="15.75" customHeight="1" thickBot="1">
      <c r="D24" s="3" t="s">
        <v>8</v>
      </c>
      <c r="E24" s="4" t="s">
        <v>9</v>
      </c>
      <c r="F24" s="4" t="s">
        <v>10</v>
      </c>
      <c r="G24" s="4" t="s">
        <v>11</v>
      </c>
      <c r="H24" s="19" t="s">
        <v>12</v>
      </c>
    </row>
    <row r="25" spans="4:8" ht="15.75" customHeight="1">
      <c r="D25" s="25" t="s">
        <v>13</v>
      </c>
      <c r="E25" s="26">
        <v>216</v>
      </c>
      <c r="F25" s="26"/>
      <c r="G25" s="27"/>
      <c r="H25" s="28"/>
    </row>
    <row r="26" spans="4:8" ht="15.75" customHeight="1">
      <c r="D26" s="8" t="s">
        <v>14</v>
      </c>
      <c r="E26" s="9">
        <v>216</v>
      </c>
      <c r="F26" s="9">
        <v>20</v>
      </c>
      <c r="G26" s="10">
        <v>16</v>
      </c>
      <c r="H26" s="21">
        <f>((F26+G26)/2)/216</f>
        <v>8.3333333333333329E-2</v>
      </c>
    </row>
    <row r="27" spans="4:8" ht="15.75" customHeight="1">
      <c r="D27" s="11" t="s">
        <v>15</v>
      </c>
      <c r="E27" s="12">
        <v>213</v>
      </c>
      <c r="F27" s="12">
        <v>16</v>
      </c>
      <c r="G27" s="13">
        <v>19</v>
      </c>
      <c r="H27" s="21">
        <f>((F27+G27)/2)/E26</f>
        <v>8.1018518518518517E-2</v>
      </c>
    </row>
    <row r="28" spans="4:8" ht="15.75" customHeight="1">
      <c r="D28" s="14" t="s">
        <v>16</v>
      </c>
      <c r="E28" s="12">
        <v>213</v>
      </c>
      <c r="F28" s="12">
        <v>28</v>
      </c>
      <c r="G28" s="13">
        <v>26</v>
      </c>
      <c r="H28" s="21">
        <f t="shared" ref="H28:H37" si="0">((F28+G28)/2)/E27</f>
        <v>0.12676056338028169</v>
      </c>
    </row>
    <row r="29" spans="4:8" ht="15.75" customHeight="1">
      <c r="D29" s="15" t="s">
        <v>17</v>
      </c>
      <c r="E29" s="12">
        <v>214</v>
      </c>
      <c r="F29" s="12">
        <v>24</v>
      </c>
      <c r="G29" s="13">
        <v>17</v>
      </c>
      <c r="H29" s="21">
        <f t="shared" si="0"/>
        <v>9.6244131455399062E-2</v>
      </c>
    </row>
    <row r="30" spans="4:8" ht="15.75" customHeight="1">
      <c r="D30" s="11" t="s">
        <v>18</v>
      </c>
      <c r="E30" s="12">
        <v>213</v>
      </c>
      <c r="F30" s="12">
        <v>18</v>
      </c>
      <c r="G30" s="13">
        <v>22</v>
      </c>
      <c r="H30" s="21">
        <f t="shared" si="0"/>
        <v>9.3457943925233641E-2</v>
      </c>
    </row>
    <row r="31" spans="4:8" ht="15.75" customHeight="1">
      <c r="D31" s="14" t="s">
        <v>19</v>
      </c>
      <c r="E31" s="12">
        <v>210</v>
      </c>
      <c r="F31" s="12">
        <v>11</v>
      </c>
      <c r="G31" s="13">
        <v>13</v>
      </c>
      <c r="H31" s="21">
        <f t="shared" si="0"/>
        <v>5.6338028169014086E-2</v>
      </c>
    </row>
    <row r="32" spans="4:8" ht="15.75" customHeight="1">
      <c r="D32" s="15" t="s">
        <v>20</v>
      </c>
      <c r="E32" s="12">
        <v>210</v>
      </c>
      <c r="F32" s="12">
        <v>11</v>
      </c>
      <c r="G32" s="13">
        <v>11</v>
      </c>
      <c r="H32" s="21">
        <f t="shared" si="0"/>
        <v>5.2380952380952382E-2</v>
      </c>
    </row>
    <row r="33" spans="4:8" ht="15.75" customHeight="1">
      <c r="D33" s="11" t="s">
        <v>21</v>
      </c>
      <c r="E33" s="12">
        <v>199</v>
      </c>
      <c r="F33" s="12">
        <v>12</v>
      </c>
      <c r="G33" s="13">
        <v>25</v>
      </c>
      <c r="H33" s="21">
        <f t="shared" si="0"/>
        <v>8.8095238095238101E-2</v>
      </c>
    </row>
    <row r="34" spans="4:8" ht="15.75" customHeight="1">
      <c r="D34" s="14" t="s">
        <v>22</v>
      </c>
      <c r="E34" s="12">
        <v>191</v>
      </c>
      <c r="F34" s="12">
        <v>7</v>
      </c>
      <c r="G34" s="13">
        <v>15</v>
      </c>
      <c r="H34" s="21">
        <f t="shared" si="0"/>
        <v>5.5276381909547742E-2</v>
      </c>
    </row>
    <row r="35" spans="4:8" ht="15.75" customHeight="1">
      <c r="D35" s="15" t="s">
        <v>23</v>
      </c>
      <c r="E35" s="12">
        <v>186</v>
      </c>
      <c r="F35" s="12">
        <v>13</v>
      </c>
      <c r="G35" s="13">
        <v>14</v>
      </c>
      <c r="H35" s="21">
        <f t="shared" si="0"/>
        <v>7.0680628272251314E-2</v>
      </c>
    </row>
    <row r="36" spans="4:8" ht="15.75" customHeight="1">
      <c r="D36" s="11" t="s">
        <v>24</v>
      </c>
      <c r="E36" s="12">
        <v>194</v>
      </c>
      <c r="F36" s="12">
        <v>18</v>
      </c>
      <c r="G36" s="13">
        <v>7</v>
      </c>
      <c r="H36" s="21">
        <f t="shared" si="0"/>
        <v>6.7204301075268813E-2</v>
      </c>
    </row>
    <row r="37" spans="4:8" ht="15.75" customHeight="1" thickBot="1">
      <c r="D37" s="16" t="s">
        <v>13</v>
      </c>
      <c r="E37" s="17">
        <v>184</v>
      </c>
      <c r="F37" s="17">
        <v>1</v>
      </c>
      <c r="G37" s="29">
        <v>14</v>
      </c>
      <c r="H37" s="30">
        <f t="shared" si="0"/>
        <v>3.8659793814432991E-2</v>
      </c>
    </row>
    <row r="38" spans="4:8" ht="19.5" customHeight="1">
      <c r="G38" s="23" t="s">
        <v>25</v>
      </c>
      <c r="H38" s="24">
        <f>SUM(H26:H37)</f>
        <v>0.9094498143294717</v>
      </c>
    </row>
  </sheetData>
  <mergeCells count="3">
    <mergeCell ref="A1:B3"/>
    <mergeCell ref="C1:I3"/>
    <mergeCell ref="F23:G2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38DF-3C5D-4492-B041-16656ECB96CE}">
  <dimension ref="A1:I38"/>
  <sheetViews>
    <sheetView workbookViewId="0">
      <selection activeCell="A14" sqref="A14"/>
    </sheetView>
  </sheetViews>
  <sheetFormatPr defaultColWidth="14.42578125" defaultRowHeight="15.75" customHeight="1"/>
  <cols>
    <col min="1" max="1" width="26.5703125" style="1" customWidth="1"/>
    <col min="2" max="2" width="2.28515625" style="2" customWidth="1"/>
    <col min="3" max="3" width="16.42578125" style="2" customWidth="1"/>
    <col min="4" max="8" width="29" style="2" customWidth="1"/>
    <col min="9" max="9" width="18.85546875" style="2" customWidth="1"/>
    <col min="10" max="10" width="26.42578125" style="2" customWidth="1"/>
    <col min="11" max="16384" width="14.42578125" style="2"/>
  </cols>
  <sheetData>
    <row r="1" spans="1:9" s="1" customFormat="1" ht="33.75" customHeight="1">
      <c r="A1" s="35" t="s">
        <v>5</v>
      </c>
      <c r="B1" s="36"/>
      <c r="C1" s="41" t="s">
        <v>6</v>
      </c>
      <c r="D1" s="42"/>
      <c r="E1" s="42"/>
      <c r="F1" s="42"/>
      <c r="G1" s="42"/>
      <c r="H1" s="42"/>
      <c r="I1" s="42"/>
    </row>
    <row r="2" spans="1:9" s="1" customFormat="1" ht="6.75" customHeight="1">
      <c r="A2" s="37"/>
      <c r="B2" s="38"/>
      <c r="C2" s="41"/>
      <c r="D2" s="42"/>
      <c r="E2" s="42"/>
      <c r="F2" s="42"/>
      <c r="G2" s="42"/>
      <c r="H2" s="42"/>
      <c r="I2" s="42"/>
    </row>
    <row r="3" spans="1:9" s="1" customFormat="1" ht="33.75" customHeight="1">
      <c r="A3" s="39"/>
      <c r="B3" s="40"/>
      <c r="C3" s="41"/>
      <c r="D3" s="42"/>
      <c r="E3" s="42"/>
      <c r="F3" s="42"/>
      <c r="G3" s="42"/>
      <c r="H3" s="42"/>
      <c r="I3" s="42"/>
    </row>
    <row r="4" spans="1:9" s="1" customFormat="1" ht="9" customHeight="1"/>
    <row r="5" spans="1:9" ht="11.25" customHeight="1"/>
    <row r="6" spans="1:9" ht="38.25" customHeight="1"/>
    <row r="7" spans="1:9" ht="12"/>
    <row r="8" spans="1:9" ht="12"/>
    <row r="21" spans="4:8" ht="19.5" customHeight="1"/>
    <row r="22" spans="4:8" ht="12.75" thickBot="1"/>
    <row r="23" spans="4:8" ht="15.75" customHeight="1" thickBot="1">
      <c r="F23" s="33" t="s">
        <v>7</v>
      </c>
      <c r="G23" s="34"/>
    </row>
    <row r="24" spans="4:8" ht="15.75" customHeight="1" thickBot="1">
      <c r="D24" s="3" t="s">
        <v>8</v>
      </c>
      <c r="E24" s="4" t="s">
        <v>9</v>
      </c>
      <c r="F24" s="4" t="s">
        <v>10</v>
      </c>
      <c r="G24" s="4" t="s">
        <v>11</v>
      </c>
      <c r="H24" s="19" t="s">
        <v>12</v>
      </c>
    </row>
    <row r="25" spans="4:8" ht="15.75" customHeight="1">
      <c r="D25" s="25" t="s">
        <v>13</v>
      </c>
      <c r="E25" s="26">
        <v>216</v>
      </c>
      <c r="F25" s="26"/>
      <c r="G25" s="27"/>
      <c r="H25" s="28"/>
    </row>
    <row r="26" spans="4:8" ht="15.75" customHeight="1">
      <c r="D26" s="8" t="s">
        <v>14</v>
      </c>
      <c r="E26" s="9">
        <v>216</v>
      </c>
      <c r="F26" s="9">
        <v>20</v>
      </c>
      <c r="G26" s="10">
        <v>16</v>
      </c>
      <c r="H26" s="21">
        <f>((F26+G26)/2)/216</f>
        <v>8.3333333333333329E-2</v>
      </c>
    </row>
    <row r="27" spans="4:8" ht="15.75" customHeight="1">
      <c r="D27" s="11" t="s">
        <v>15</v>
      </c>
      <c r="E27" s="12">
        <v>213</v>
      </c>
      <c r="F27" s="12">
        <v>16</v>
      </c>
      <c r="G27" s="13">
        <v>19</v>
      </c>
      <c r="H27" s="21">
        <f>((F27+G27)/2)/E26</f>
        <v>8.1018518518518517E-2</v>
      </c>
    </row>
    <row r="28" spans="4:8" ht="15.75" customHeight="1">
      <c r="D28" s="14" t="s">
        <v>16</v>
      </c>
      <c r="E28" s="12">
        <v>213</v>
      </c>
      <c r="F28" s="12">
        <v>28</v>
      </c>
      <c r="G28" s="13">
        <v>26</v>
      </c>
      <c r="H28" s="21">
        <f t="shared" ref="H28:H37" si="0">((F28+G28)/2)/E27</f>
        <v>0.12676056338028169</v>
      </c>
    </row>
    <row r="29" spans="4:8" ht="15.75" customHeight="1">
      <c r="D29" s="15" t="s">
        <v>17</v>
      </c>
      <c r="E29" s="12">
        <v>214</v>
      </c>
      <c r="F29" s="12">
        <v>24</v>
      </c>
      <c r="G29" s="13">
        <v>17</v>
      </c>
      <c r="H29" s="21">
        <f t="shared" si="0"/>
        <v>9.6244131455399062E-2</v>
      </c>
    </row>
    <row r="30" spans="4:8" ht="15.75" customHeight="1">
      <c r="D30" s="11" t="s">
        <v>18</v>
      </c>
      <c r="E30" s="12">
        <v>213</v>
      </c>
      <c r="F30" s="12">
        <v>18</v>
      </c>
      <c r="G30" s="13">
        <v>22</v>
      </c>
      <c r="H30" s="21">
        <f t="shared" si="0"/>
        <v>9.3457943925233641E-2</v>
      </c>
    </row>
    <row r="31" spans="4:8" ht="15.75" customHeight="1">
      <c r="D31" s="14" t="s">
        <v>19</v>
      </c>
      <c r="E31" s="12">
        <v>210</v>
      </c>
      <c r="F31" s="12">
        <v>11</v>
      </c>
      <c r="G31" s="13">
        <v>13</v>
      </c>
      <c r="H31" s="21">
        <f t="shared" si="0"/>
        <v>5.6338028169014086E-2</v>
      </c>
    </row>
    <row r="32" spans="4:8" ht="15.75" customHeight="1">
      <c r="D32" s="15" t="s">
        <v>20</v>
      </c>
      <c r="E32" s="12">
        <v>210</v>
      </c>
      <c r="F32" s="12">
        <v>11</v>
      </c>
      <c r="G32" s="13">
        <v>11</v>
      </c>
      <c r="H32" s="21">
        <f t="shared" si="0"/>
        <v>5.2380952380952382E-2</v>
      </c>
    </row>
    <row r="33" spans="4:8" ht="15.75" customHeight="1">
      <c r="D33" s="11" t="s">
        <v>21</v>
      </c>
      <c r="E33" s="12">
        <v>199</v>
      </c>
      <c r="F33" s="12">
        <v>12</v>
      </c>
      <c r="G33" s="13">
        <v>25</v>
      </c>
      <c r="H33" s="21">
        <f t="shared" si="0"/>
        <v>8.8095238095238101E-2</v>
      </c>
    </row>
    <row r="34" spans="4:8" ht="15.75" customHeight="1">
      <c r="D34" s="14" t="s">
        <v>22</v>
      </c>
      <c r="E34" s="12">
        <v>191</v>
      </c>
      <c r="F34" s="12">
        <v>7</v>
      </c>
      <c r="G34" s="13">
        <v>15</v>
      </c>
      <c r="H34" s="21">
        <f t="shared" si="0"/>
        <v>5.5276381909547742E-2</v>
      </c>
    </row>
    <row r="35" spans="4:8" ht="15.75" customHeight="1">
      <c r="D35" s="15" t="s">
        <v>23</v>
      </c>
      <c r="E35" s="12">
        <v>186</v>
      </c>
      <c r="F35" s="12">
        <v>13</v>
      </c>
      <c r="G35" s="13">
        <v>14</v>
      </c>
      <c r="H35" s="21">
        <f t="shared" si="0"/>
        <v>7.0680628272251314E-2</v>
      </c>
    </row>
    <row r="36" spans="4:8" ht="15.75" customHeight="1">
      <c r="D36" s="11" t="s">
        <v>24</v>
      </c>
      <c r="E36" s="12">
        <v>194</v>
      </c>
      <c r="F36" s="12">
        <v>18</v>
      </c>
      <c r="G36" s="13">
        <v>7</v>
      </c>
      <c r="H36" s="21">
        <f t="shared" si="0"/>
        <v>6.7204301075268813E-2</v>
      </c>
    </row>
    <row r="37" spans="4:8" ht="15.75" customHeight="1" thickBot="1">
      <c r="D37" s="16" t="s">
        <v>13</v>
      </c>
      <c r="E37" s="17">
        <v>184</v>
      </c>
      <c r="F37" s="17">
        <v>1</v>
      </c>
      <c r="G37" s="29">
        <v>14</v>
      </c>
      <c r="H37" s="30">
        <f t="shared" si="0"/>
        <v>3.8659793814432991E-2</v>
      </c>
    </row>
    <row r="38" spans="4:8" ht="19.5" customHeight="1">
      <c r="G38" s="23" t="s">
        <v>25</v>
      </c>
      <c r="H38" s="24">
        <f>SUM(H26:H37)</f>
        <v>0.9094498143294717</v>
      </c>
    </row>
  </sheetData>
  <mergeCells count="3">
    <mergeCell ref="A1:B3"/>
    <mergeCell ref="C1:I3"/>
    <mergeCell ref="F23:G23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23F1-FA86-403F-8BB0-DE0DC4DC96CB}">
  <dimension ref="A1:I38"/>
  <sheetViews>
    <sheetView workbookViewId="0">
      <selection sqref="A1:XFD1048576"/>
    </sheetView>
  </sheetViews>
  <sheetFormatPr defaultColWidth="14.42578125" defaultRowHeight="15.75" customHeight="1"/>
  <cols>
    <col min="1" max="1" width="26.5703125" style="1" customWidth="1"/>
    <col min="2" max="2" width="2.28515625" style="2" customWidth="1"/>
    <col min="3" max="3" width="16.42578125" style="2" customWidth="1"/>
    <col min="4" max="8" width="29" style="2" customWidth="1"/>
    <col min="9" max="9" width="18.85546875" style="2" customWidth="1"/>
    <col min="10" max="10" width="26.42578125" style="2" customWidth="1"/>
    <col min="11" max="16384" width="14.42578125" style="2"/>
  </cols>
  <sheetData>
    <row r="1" spans="1:9" s="1" customFormat="1" ht="33.75" customHeight="1">
      <c r="A1" s="35"/>
      <c r="B1" s="36"/>
      <c r="C1" s="41" t="s">
        <v>6</v>
      </c>
      <c r="D1" s="42"/>
      <c r="E1" s="42"/>
      <c r="F1" s="42"/>
      <c r="G1" s="42"/>
      <c r="H1" s="42"/>
      <c r="I1" s="42"/>
    </row>
    <row r="2" spans="1:9" s="1" customFormat="1" ht="6.75" customHeight="1">
      <c r="A2" s="37"/>
      <c r="B2" s="38"/>
      <c r="C2" s="41"/>
      <c r="D2" s="42"/>
      <c r="E2" s="42"/>
      <c r="F2" s="42"/>
      <c r="G2" s="42"/>
      <c r="H2" s="42"/>
      <c r="I2" s="42"/>
    </row>
    <row r="3" spans="1:9" s="1" customFormat="1" ht="33.75" customHeight="1">
      <c r="A3" s="39"/>
      <c r="B3" s="40"/>
      <c r="C3" s="41"/>
      <c r="D3" s="42"/>
      <c r="E3" s="42"/>
      <c r="F3" s="42"/>
      <c r="G3" s="42"/>
      <c r="H3" s="42"/>
      <c r="I3" s="42"/>
    </row>
    <row r="4" spans="1:9" s="1" customFormat="1" ht="9" customHeight="1"/>
    <row r="5" spans="1:9" ht="11.25" customHeight="1"/>
    <row r="6" spans="1:9" ht="38.25" customHeight="1"/>
    <row r="7" spans="1:9" ht="12"/>
    <row r="8" spans="1:9" ht="12"/>
    <row r="21" spans="4:8" ht="19.5" customHeight="1"/>
    <row r="22" spans="4:8" ht="12.75" thickBot="1"/>
    <row r="23" spans="4:8" ht="15.75" customHeight="1" thickBot="1">
      <c r="F23" s="33" t="s">
        <v>7</v>
      </c>
      <c r="G23" s="34"/>
    </row>
    <row r="24" spans="4:8" ht="15.75" customHeight="1" thickBot="1">
      <c r="D24" s="3" t="s">
        <v>8</v>
      </c>
      <c r="E24" s="4" t="s">
        <v>9</v>
      </c>
      <c r="F24" s="4" t="s">
        <v>10</v>
      </c>
      <c r="G24" s="4" t="s">
        <v>11</v>
      </c>
      <c r="H24" s="19" t="s">
        <v>12</v>
      </c>
    </row>
    <row r="25" spans="4:8" ht="15.75" customHeight="1">
      <c r="D25" s="25" t="s">
        <v>13</v>
      </c>
      <c r="E25" s="26">
        <v>216</v>
      </c>
      <c r="F25" s="26"/>
      <c r="G25" s="27"/>
      <c r="H25" s="28"/>
    </row>
    <row r="26" spans="4:8" ht="15.75" customHeight="1">
      <c r="D26" s="8" t="s">
        <v>14</v>
      </c>
      <c r="E26" s="9">
        <v>216</v>
      </c>
      <c r="F26" s="9">
        <v>20</v>
      </c>
      <c r="G26" s="10">
        <v>16</v>
      </c>
      <c r="H26" s="21">
        <f>((F26+G26)/2)/216</f>
        <v>8.3333333333333329E-2</v>
      </c>
    </row>
    <row r="27" spans="4:8" ht="15.75" customHeight="1">
      <c r="D27" s="11" t="s">
        <v>15</v>
      </c>
      <c r="E27" s="12">
        <v>213</v>
      </c>
      <c r="F27" s="12">
        <v>16</v>
      </c>
      <c r="G27" s="13">
        <v>19</v>
      </c>
      <c r="H27" s="21">
        <f>((F27+G27)/2)/E26</f>
        <v>8.1018518518518517E-2</v>
      </c>
    </row>
    <row r="28" spans="4:8" ht="15.75" customHeight="1">
      <c r="D28" s="14" t="s">
        <v>16</v>
      </c>
      <c r="E28" s="12">
        <v>213</v>
      </c>
      <c r="F28" s="12">
        <v>28</v>
      </c>
      <c r="G28" s="13">
        <v>26</v>
      </c>
      <c r="H28" s="21">
        <f t="shared" ref="H28:H37" si="0">((F28+G28)/2)/E27</f>
        <v>0.12676056338028169</v>
      </c>
    </row>
    <row r="29" spans="4:8" ht="15.75" customHeight="1">
      <c r="D29" s="15" t="s">
        <v>17</v>
      </c>
      <c r="E29" s="12">
        <v>214</v>
      </c>
      <c r="F29" s="12">
        <v>24</v>
      </c>
      <c r="G29" s="13">
        <v>17</v>
      </c>
      <c r="H29" s="21">
        <f t="shared" si="0"/>
        <v>9.6244131455399062E-2</v>
      </c>
    </row>
    <row r="30" spans="4:8" ht="15.75" customHeight="1">
      <c r="D30" s="11" t="s">
        <v>18</v>
      </c>
      <c r="E30" s="12">
        <v>213</v>
      </c>
      <c r="F30" s="12">
        <v>18</v>
      </c>
      <c r="G30" s="13">
        <v>22</v>
      </c>
      <c r="H30" s="21">
        <f t="shared" si="0"/>
        <v>9.3457943925233641E-2</v>
      </c>
    </row>
    <row r="31" spans="4:8" ht="15.75" customHeight="1">
      <c r="D31" s="14" t="s">
        <v>19</v>
      </c>
      <c r="E31" s="12">
        <v>210</v>
      </c>
      <c r="F31" s="12">
        <v>11</v>
      </c>
      <c r="G31" s="13">
        <v>13</v>
      </c>
      <c r="H31" s="21">
        <f t="shared" si="0"/>
        <v>5.6338028169014086E-2</v>
      </c>
    </row>
    <row r="32" spans="4:8" ht="15.75" customHeight="1">
      <c r="D32" s="15" t="s">
        <v>20</v>
      </c>
      <c r="E32" s="12">
        <v>210</v>
      </c>
      <c r="F32" s="12">
        <v>11</v>
      </c>
      <c r="G32" s="13">
        <v>11</v>
      </c>
      <c r="H32" s="21">
        <f t="shared" si="0"/>
        <v>5.2380952380952382E-2</v>
      </c>
    </row>
    <row r="33" spans="4:8" ht="15.75" customHeight="1">
      <c r="D33" s="11" t="s">
        <v>21</v>
      </c>
      <c r="E33" s="12">
        <v>199</v>
      </c>
      <c r="F33" s="12">
        <v>12</v>
      </c>
      <c r="G33" s="13">
        <v>25</v>
      </c>
      <c r="H33" s="21">
        <f t="shared" si="0"/>
        <v>8.8095238095238101E-2</v>
      </c>
    </row>
    <row r="34" spans="4:8" ht="15.75" customHeight="1">
      <c r="D34" s="14" t="s">
        <v>22</v>
      </c>
      <c r="E34" s="12">
        <v>191</v>
      </c>
      <c r="F34" s="12">
        <v>7</v>
      </c>
      <c r="G34" s="13">
        <v>15</v>
      </c>
      <c r="H34" s="21">
        <f t="shared" si="0"/>
        <v>5.5276381909547742E-2</v>
      </c>
    </row>
    <row r="35" spans="4:8" ht="15.75" customHeight="1">
      <c r="D35" s="15" t="s">
        <v>23</v>
      </c>
      <c r="E35" s="12">
        <v>186</v>
      </c>
      <c r="F35" s="12">
        <v>13</v>
      </c>
      <c r="G35" s="13">
        <v>14</v>
      </c>
      <c r="H35" s="21">
        <f t="shared" si="0"/>
        <v>7.0680628272251314E-2</v>
      </c>
    </row>
    <row r="36" spans="4:8" ht="15.75" customHeight="1">
      <c r="D36" s="11" t="s">
        <v>24</v>
      </c>
      <c r="E36" s="12">
        <v>194</v>
      </c>
      <c r="F36" s="12">
        <v>18</v>
      </c>
      <c r="G36" s="13">
        <v>7</v>
      </c>
      <c r="H36" s="21">
        <f t="shared" si="0"/>
        <v>6.7204301075268813E-2</v>
      </c>
    </row>
    <row r="37" spans="4:8" ht="15.75" customHeight="1" thickBot="1">
      <c r="D37" s="16" t="s">
        <v>13</v>
      </c>
      <c r="E37" s="17">
        <v>184</v>
      </c>
      <c r="F37" s="17">
        <v>1</v>
      </c>
      <c r="G37" s="29">
        <v>14</v>
      </c>
      <c r="H37" s="30">
        <f t="shared" si="0"/>
        <v>3.8659793814432991E-2</v>
      </c>
    </row>
    <row r="38" spans="4:8" ht="19.5" customHeight="1">
      <c r="G38" s="23" t="s">
        <v>25</v>
      </c>
      <c r="H38" s="24">
        <f>SUM(H26:H37)</f>
        <v>0.9094498143294717</v>
      </c>
    </row>
  </sheetData>
  <mergeCells count="3">
    <mergeCell ref="A1:B3"/>
    <mergeCell ref="C1:I3"/>
    <mergeCell ref="F23:G23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3D28-A0B9-4062-9DA7-F30CFEFD62A0}">
  <dimension ref="A1:I38"/>
  <sheetViews>
    <sheetView workbookViewId="0">
      <selection activeCell="I23" sqref="I23"/>
    </sheetView>
  </sheetViews>
  <sheetFormatPr defaultColWidth="14.42578125" defaultRowHeight="15.75" customHeight="1"/>
  <cols>
    <col min="1" max="1" width="26.5703125" style="1" customWidth="1"/>
    <col min="2" max="2" width="2.28515625" style="2" customWidth="1"/>
    <col min="3" max="3" width="16.42578125" style="2" customWidth="1"/>
    <col min="4" max="8" width="29" style="2" customWidth="1"/>
    <col min="9" max="9" width="18.85546875" style="2" customWidth="1"/>
    <col min="10" max="10" width="26.42578125" style="2" customWidth="1"/>
    <col min="11" max="16384" width="14.42578125" style="2"/>
  </cols>
  <sheetData>
    <row r="1" spans="1:9" s="1" customFormat="1" ht="33.75" customHeight="1">
      <c r="A1" s="35"/>
      <c r="B1" s="36"/>
      <c r="C1" s="41" t="s">
        <v>6</v>
      </c>
      <c r="D1" s="42"/>
      <c r="E1" s="42"/>
      <c r="F1" s="42"/>
      <c r="G1" s="42"/>
      <c r="H1" s="42"/>
      <c r="I1" s="42"/>
    </row>
    <row r="2" spans="1:9" s="1" customFormat="1" ht="6.75" customHeight="1">
      <c r="A2" s="37"/>
      <c r="B2" s="38"/>
      <c r="C2" s="41"/>
      <c r="D2" s="42"/>
      <c r="E2" s="42"/>
      <c r="F2" s="42"/>
      <c r="G2" s="42"/>
      <c r="H2" s="42"/>
      <c r="I2" s="42"/>
    </row>
    <row r="3" spans="1:9" s="1" customFormat="1" ht="33.75" customHeight="1">
      <c r="A3" s="39"/>
      <c r="B3" s="40"/>
      <c r="C3" s="41"/>
      <c r="D3" s="42"/>
      <c r="E3" s="42"/>
      <c r="F3" s="42"/>
      <c r="G3" s="42"/>
      <c r="H3" s="42"/>
      <c r="I3" s="42"/>
    </row>
    <row r="4" spans="1:9" s="1" customFormat="1" ht="9" customHeight="1"/>
    <row r="5" spans="1:9" ht="11.25" customHeight="1"/>
    <row r="6" spans="1:9" ht="38.25" customHeight="1"/>
    <row r="7" spans="1:9" ht="12"/>
    <row r="8" spans="1:9" ht="12"/>
    <row r="21" spans="4:8" ht="19.5" customHeight="1"/>
    <row r="22" spans="4:8" ht="12.75" thickBot="1"/>
    <row r="23" spans="4:8" ht="15.75" customHeight="1" thickBot="1">
      <c r="F23" s="33" t="s">
        <v>7</v>
      </c>
      <c r="G23" s="34"/>
    </row>
    <row r="24" spans="4:8" ht="15.75" customHeight="1" thickBot="1">
      <c r="D24" s="3" t="s">
        <v>8</v>
      </c>
      <c r="E24" s="4" t="s">
        <v>9</v>
      </c>
      <c r="F24" s="4" t="s">
        <v>10</v>
      </c>
      <c r="G24" s="4" t="s">
        <v>11</v>
      </c>
      <c r="H24" s="19" t="s">
        <v>12</v>
      </c>
    </row>
    <row r="25" spans="4:8" ht="15.75" customHeight="1">
      <c r="D25" s="25" t="s">
        <v>13</v>
      </c>
      <c r="E25" s="26">
        <v>216</v>
      </c>
      <c r="F25" s="26"/>
      <c r="G25" s="27"/>
      <c r="H25" s="28"/>
    </row>
    <row r="26" spans="4:8" ht="15.75" customHeight="1">
      <c r="D26" s="8" t="s">
        <v>14</v>
      </c>
      <c r="E26" s="9">
        <v>216</v>
      </c>
      <c r="F26" s="9">
        <v>20</v>
      </c>
      <c r="G26" s="10">
        <v>16</v>
      </c>
      <c r="H26" s="21">
        <f>((F26+G26)/2)/216</f>
        <v>8.3333333333333329E-2</v>
      </c>
    </row>
    <row r="27" spans="4:8" ht="15.75" customHeight="1">
      <c r="D27" s="11" t="s">
        <v>15</v>
      </c>
      <c r="E27" s="12">
        <v>213</v>
      </c>
      <c r="F27" s="12">
        <v>16</v>
      </c>
      <c r="G27" s="13">
        <v>19</v>
      </c>
      <c r="H27" s="21">
        <f>((F27+G27)/2)/E26</f>
        <v>8.1018518518518517E-2</v>
      </c>
    </row>
    <row r="28" spans="4:8" ht="15.75" customHeight="1">
      <c r="D28" s="14" t="s">
        <v>16</v>
      </c>
      <c r="E28" s="12">
        <v>213</v>
      </c>
      <c r="F28" s="12">
        <v>28</v>
      </c>
      <c r="G28" s="13">
        <v>26</v>
      </c>
      <c r="H28" s="21">
        <f t="shared" ref="H28:H37" si="0">((F28+G28)/2)/E27</f>
        <v>0.12676056338028169</v>
      </c>
    </row>
    <row r="29" spans="4:8" ht="15.75" customHeight="1">
      <c r="D29" s="15" t="s">
        <v>17</v>
      </c>
      <c r="E29" s="12">
        <v>214</v>
      </c>
      <c r="F29" s="12">
        <v>24</v>
      </c>
      <c r="G29" s="13">
        <v>17</v>
      </c>
      <c r="H29" s="21">
        <f t="shared" si="0"/>
        <v>9.6244131455399062E-2</v>
      </c>
    </row>
    <row r="30" spans="4:8" ht="15.75" customHeight="1">
      <c r="D30" s="11" t="s">
        <v>18</v>
      </c>
      <c r="E30" s="12">
        <v>213</v>
      </c>
      <c r="F30" s="12">
        <v>18</v>
      </c>
      <c r="G30" s="13">
        <v>22</v>
      </c>
      <c r="H30" s="21">
        <f t="shared" si="0"/>
        <v>9.3457943925233641E-2</v>
      </c>
    </row>
    <row r="31" spans="4:8" ht="15.75" customHeight="1">
      <c r="D31" s="14" t="s">
        <v>19</v>
      </c>
      <c r="E31" s="12">
        <v>210</v>
      </c>
      <c r="F31" s="12">
        <v>11</v>
      </c>
      <c r="G31" s="13">
        <v>13</v>
      </c>
      <c r="H31" s="21">
        <f t="shared" si="0"/>
        <v>5.6338028169014086E-2</v>
      </c>
    </row>
    <row r="32" spans="4:8" ht="15.75" customHeight="1">
      <c r="D32" s="15" t="s">
        <v>20</v>
      </c>
      <c r="E32" s="12">
        <v>210</v>
      </c>
      <c r="F32" s="12">
        <v>11</v>
      </c>
      <c r="G32" s="13">
        <v>11</v>
      </c>
      <c r="H32" s="21">
        <f t="shared" si="0"/>
        <v>5.2380952380952382E-2</v>
      </c>
    </row>
    <row r="33" spans="4:8" ht="15.75" customHeight="1">
      <c r="D33" s="11" t="s">
        <v>21</v>
      </c>
      <c r="E33" s="12">
        <v>199</v>
      </c>
      <c r="F33" s="12">
        <v>12</v>
      </c>
      <c r="G33" s="13">
        <v>25</v>
      </c>
      <c r="H33" s="21">
        <f t="shared" si="0"/>
        <v>8.8095238095238101E-2</v>
      </c>
    </row>
    <row r="34" spans="4:8" ht="15.75" customHeight="1">
      <c r="D34" s="14" t="s">
        <v>22</v>
      </c>
      <c r="E34" s="12">
        <v>191</v>
      </c>
      <c r="F34" s="12">
        <v>7</v>
      </c>
      <c r="G34" s="13">
        <v>15</v>
      </c>
      <c r="H34" s="21">
        <f t="shared" si="0"/>
        <v>5.5276381909547742E-2</v>
      </c>
    </row>
    <row r="35" spans="4:8" ht="15.75" customHeight="1">
      <c r="D35" s="15" t="s">
        <v>23</v>
      </c>
      <c r="E35" s="12">
        <v>186</v>
      </c>
      <c r="F35" s="12">
        <v>13</v>
      </c>
      <c r="G35" s="13">
        <v>14</v>
      </c>
      <c r="H35" s="21">
        <f t="shared" si="0"/>
        <v>7.0680628272251314E-2</v>
      </c>
    </row>
    <row r="36" spans="4:8" ht="15.75" customHeight="1">
      <c r="D36" s="11" t="s">
        <v>24</v>
      </c>
      <c r="E36" s="12">
        <v>194</v>
      </c>
      <c r="F36" s="12">
        <v>18</v>
      </c>
      <c r="G36" s="13">
        <v>7</v>
      </c>
      <c r="H36" s="21">
        <f t="shared" si="0"/>
        <v>6.7204301075268813E-2</v>
      </c>
    </row>
    <row r="37" spans="4:8" ht="15.75" customHeight="1" thickBot="1">
      <c r="D37" s="16" t="s">
        <v>13</v>
      </c>
      <c r="E37" s="17">
        <v>184</v>
      </c>
      <c r="F37" s="17">
        <v>1</v>
      </c>
      <c r="G37" s="29">
        <v>14</v>
      </c>
      <c r="H37" s="30">
        <f t="shared" si="0"/>
        <v>3.8659793814432991E-2</v>
      </c>
    </row>
    <row r="38" spans="4:8" ht="19.5" customHeight="1">
      <c r="G38" s="23" t="s">
        <v>25</v>
      </c>
      <c r="H38" s="24">
        <f>SUM(H26:H37)</f>
        <v>0.9094498143294717</v>
      </c>
    </row>
  </sheetData>
  <mergeCells count="3">
    <mergeCell ref="A1:B3"/>
    <mergeCell ref="C1:I3"/>
    <mergeCell ref="F23:G23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7E02DB-A0C5-48FE-AD30-4E772C49D3F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Lista</vt:lpstr>
      <vt:lpstr>TURNOVER SUBSTITUIÇÃO</vt:lpstr>
      <vt:lpstr>TURNOVER GLOBAL-2025</vt:lpstr>
      <vt:lpstr>LUBE</vt:lpstr>
      <vt:lpstr>LLOG</vt:lpstr>
      <vt:lpstr>IMPERIO </vt:lpstr>
      <vt:lpstr>SERMAR</vt:lpstr>
      <vt:lpstr>InterExter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Lube Distribuidora</cp:lastModifiedBy>
  <cp:lastPrinted>2022-06-03T21:27:00Z</cp:lastPrinted>
  <dcterms:created xsi:type="dcterms:W3CDTF">2020-03-18T16:09:00Z</dcterms:created>
  <dcterms:modified xsi:type="dcterms:W3CDTF">2026-05-27T12:48:31Z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AF3EB2D826EE4178A4F1A075AAFD0B4A_12</vt:lpwstr>
  </property>
  <property fmtid="{D5CDD505-2E9C-101B-9397-08002B2CF9AE}" pid="3" name="KSOProductBuildVer">
    <vt:lpwstr>1046-12.2.0.23196</vt:lpwstr>
  </property>
</Properties>
</file>