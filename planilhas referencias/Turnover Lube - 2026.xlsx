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EstaPastaDeTrabalho"/>
  <mc:AlternateContent xmlns:mc="http://schemas.openxmlformats.org/markup-compatibility/2006">
    <mc:Choice Requires="x15">
      <x15ac:absPath xmlns:x15ac="http://schemas.microsoft.com/office/spreadsheetml/2010/11/ac" url="Z:\Aurea\Tour nover\"/>
    </mc:Choice>
  </mc:AlternateContent>
  <xr:revisionPtr revIDLastSave="0" documentId="13_ncr:1_{E5D66C41-8A96-4988-8C89-B84054DBA8E6}" xr6:coauthVersionLast="47" xr6:coauthVersionMax="47" xr10:uidLastSave="{00000000-0000-0000-0000-000000000000}"/>
  <bookViews>
    <workbookView xWindow="-120" yWindow="-120" windowWidth="29040" windowHeight="15720" tabRatio="881" firstSheet="1" activeTab="1" xr2:uid="{00000000-000D-0000-FFFF-FFFF00000000}"/>
  </bookViews>
  <sheets>
    <sheet name="Lista" sheetId="30" state="hidden" r:id="rId1"/>
    <sheet name="TURNOVER GLOBAL-2025" sheetId="4" r:id="rId2"/>
    <sheet name="LUBE ES" sheetId="32" r:id="rId3"/>
    <sheet name="LUBE RJ" sheetId="36" r:id="rId4"/>
    <sheet name="LLOG" sheetId="33" r:id="rId5"/>
    <sheet name="IMPERIO " sheetId="34" r:id="rId6"/>
    <sheet name="SERMAR" sheetId="35" r:id="rId7"/>
  </sheets>
  <definedNames>
    <definedName name="InterExter">Lista!$A$1:$A$3</definedName>
  </definedName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36" l="1"/>
  <c r="H65" i="4" s="1"/>
  <c r="H28" i="36"/>
  <c r="H66" i="4" s="1"/>
  <c r="H29" i="36"/>
  <c r="H67" i="4" s="1"/>
  <c r="H30" i="36"/>
  <c r="H68" i="4" s="1"/>
  <c r="H31" i="36"/>
  <c r="H69" i="4" s="1"/>
  <c r="H32" i="36"/>
  <c r="H70" i="4" s="1"/>
  <c r="H33" i="36"/>
  <c r="H71" i="4" s="1"/>
  <c r="H34" i="36"/>
  <c r="H72" i="4" s="1"/>
  <c r="H35" i="36"/>
  <c r="H73" i="4" s="1"/>
  <c r="H36" i="36"/>
  <c r="H74" i="4" s="1"/>
  <c r="H37" i="36"/>
  <c r="H75" i="4" s="1"/>
  <c r="H26" i="36"/>
  <c r="H64" i="4" s="1"/>
  <c r="H27" i="32"/>
  <c r="H46" i="4" s="1"/>
  <c r="H28" i="32"/>
  <c r="H47" i="4" s="1"/>
  <c r="H29" i="32"/>
  <c r="H48" i="4" s="1"/>
  <c r="H30" i="32"/>
  <c r="H49" i="4" s="1"/>
  <c r="H31" i="32"/>
  <c r="H50" i="4" s="1"/>
  <c r="H32" i="32"/>
  <c r="H51" i="4" s="1"/>
  <c r="H33" i="32"/>
  <c r="H34" i="32"/>
  <c r="H53" i="4" s="1"/>
  <c r="H35" i="32"/>
  <c r="H54" i="4" s="1"/>
  <c r="H36" i="32"/>
  <c r="H55" i="4" s="1"/>
  <c r="H37" i="32"/>
  <c r="H56" i="4" s="1"/>
  <c r="H52" i="4"/>
  <c r="H26" i="32"/>
  <c r="H26" i="4"/>
  <c r="F82" i="4"/>
  <c r="G82" i="4"/>
  <c r="H82" i="4"/>
  <c r="F83" i="4"/>
  <c r="G83" i="4"/>
  <c r="H83" i="4"/>
  <c r="F84" i="4"/>
  <c r="G84" i="4"/>
  <c r="H84" i="4"/>
  <c r="F85" i="4"/>
  <c r="G85" i="4"/>
  <c r="F86" i="4"/>
  <c r="G86" i="4"/>
  <c r="F87" i="4"/>
  <c r="G87" i="4"/>
  <c r="F88" i="4"/>
  <c r="G88" i="4"/>
  <c r="F89" i="4"/>
  <c r="G89" i="4"/>
  <c r="F90" i="4"/>
  <c r="G90" i="4"/>
  <c r="F91" i="4"/>
  <c r="G91" i="4"/>
  <c r="F92" i="4"/>
  <c r="G92" i="4"/>
  <c r="H92" i="4"/>
  <c r="F93" i="4"/>
  <c r="G93" i="4"/>
  <c r="H93" i="4"/>
  <c r="F94" i="4"/>
  <c r="G94" i="4"/>
  <c r="H94" i="4"/>
  <c r="E83" i="4"/>
  <c r="E84" i="4"/>
  <c r="E85" i="4"/>
  <c r="E86" i="4"/>
  <c r="E87" i="4"/>
  <c r="E88" i="4"/>
  <c r="E89" i="4"/>
  <c r="E90" i="4"/>
  <c r="E91" i="4"/>
  <c r="E92" i="4"/>
  <c r="E93" i="4"/>
  <c r="E94" i="4"/>
  <c r="E82" i="4"/>
  <c r="F119" i="4"/>
  <c r="G119" i="4"/>
  <c r="H119" i="4"/>
  <c r="F120" i="4"/>
  <c r="G120" i="4"/>
  <c r="H120" i="4"/>
  <c r="F121" i="4"/>
  <c r="G121" i="4"/>
  <c r="H121" i="4"/>
  <c r="F122" i="4"/>
  <c r="G122" i="4"/>
  <c r="H122" i="4"/>
  <c r="F123" i="4"/>
  <c r="G123" i="4"/>
  <c r="H123" i="4"/>
  <c r="F124" i="4"/>
  <c r="G124" i="4"/>
  <c r="H124" i="4"/>
  <c r="F125" i="4"/>
  <c r="G125" i="4"/>
  <c r="F126" i="4"/>
  <c r="G126" i="4"/>
  <c r="F127" i="4"/>
  <c r="G127" i="4"/>
  <c r="F128" i="4"/>
  <c r="G128" i="4"/>
  <c r="F129" i="4"/>
  <c r="G129" i="4"/>
  <c r="H129" i="4"/>
  <c r="F130" i="4"/>
  <c r="G130" i="4"/>
  <c r="H130" i="4"/>
  <c r="F131" i="4"/>
  <c r="G131" i="4"/>
  <c r="H131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19" i="4"/>
  <c r="E102" i="4"/>
  <c r="F102" i="4"/>
  <c r="G102" i="4"/>
  <c r="H102" i="4"/>
  <c r="E103" i="4"/>
  <c r="F103" i="4"/>
  <c r="G103" i="4"/>
  <c r="H103" i="4"/>
  <c r="E104" i="4"/>
  <c r="F104" i="4"/>
  <c r="G104" i="4"/>
  <c r="E105" i="4"/>
  <c r="F105" i="4"/>
  <c r="G105" i="4"/>
  <c r="E106" i="4"/>
  <c r="F106" i="4"/>
  <c r="G106" i="4"/>
  <c r="E107" i="4"/>
  <c r="F107" i="4"/>
  <c r="G107" i="4"/>
  <c r="E108" i="4"/>
  <c r="F108" i="4"/>
  <c r="G108" i="4"/>
  <c r="E109" i="4"/>
  <c r="F109" i="4"/>
  <c r="G109" i="4"/>
  <c r="E110" i="4"/>
  <c r="F110" i="4"/>
  <c r="G110" i="4"/>
  <c r="E111" i="4"/>
  <c r="F111" i="4"/>
  <c r="G111" i="4"/>
  <c r="H111" i="4"/>
  <c r="E112" i="4"/>
  <c r="F112" i="4"/>
  <c r="G112" i="4"/>
  <c r="H112" i="4"/>
  <c r="E113" i="4"/>
  <c r="F113" i="4"/>
  <c r="G113" i="4"/>
  <c r="H113" i="4"/>
  <c r="F101" i="4"/>
  <c r="G101" i="4"/>
  <c r="H101" i="4"/>
  <c r="E101" i="4"/>
  <c r="F63" i="4"/>
  <c r="G63" i="4"/>
  <c r="H63" i="4"/>
  <c r="F64" i="4"/>
  <c r="G64" i="4"/>
  <c r="F65" i="4"/>
  <c r="G65" i="4"/>
  <c r="F66" i="4"/>
  <c r="G66" i="4"/>
  <c r="F67" i="4"/>
  <c r="G67" i="4"/>
  <c r="F68" i="4"/>
  <c r="G68" i="4"/>
  <c r="F69" i="4"/>
  <c r="G69" i="4"/>
  <c r="F70" i="4"/>
  <c r="G70" i="4"/>
  <c r="F71" i="4"/>
  <c r="G71" i="4"/>
  <c r="F72" i="4"/>
  <c r="G72" i="4"/>
  <c r="F73" i="4"/>
  <c r="G73" i="4"/>
  <c r="F74" i="4"/>
  <c r="G74" i="4"/>
  <c r="F75" i="4"/>
  <c r="G75" i="4"/>
  <c r="E64" i="4"/>
  <c r="E65" i="4"/>
  <c r="E66" i="4"/>
  <c r="E67" i="4"/>
  <c r="E68" i="4"/>
  <c r="E69" i="4"/>
  <c r="E70" i="4"/>
  <c r="E71" i="4"/>
  <c r="E72" i="4"/>
  <c r="E73" i="4"/>
  <c r="E74" i="4"/>
  <c r="E75" i="4"/>
  <c r="E63" i="4"/>
  <c r="F44" i="4"/>
  <c r="G44" i="4"/>
  <c r="H44" i="4"/>
  <c r="F45" i="4"/>
  <c r="G45" i="4"/>
  <c r="H45" i="4"/>
  <c r="F46" i="4"/>
  <c r="G46" i="4"/>
  <c r="F47" i="4"/>
  <c r="G47" i="4"/>
  <c r="F48" i="4"/>
  <c r="G48" i="4"/>
  <c r="F49" i="4"/>
  <c r="G49" i="4"/>
  <c r="F50" i="4"/>
  <c r="G50" i="4"/>
  <c r="F51" i="4"/>
  <c r="G51" i="4"/>
  <c r="F52" i="4"/>
  <c r="G52" i="4"/>
  <c r="F53" i="4"/>
  <c r="G53" i="4"/>
  <c r="F54" i="4"/>
  <c r="G54" i="4"/>
  <c r="F55" i="4"/>
  <c r="G55" i="4"/>
  <c r="F56" i="4"/>
  <c r="G56" i="4"/>
  <c r="E45" i="4"/>
  <c r="E46" i="4"/>
  <c r="E47" i="4"/>
  <c r="E48" i="4"/>
  <c r="E49" i="4"/>
  <c r="E50" i="4"/>
  <c r="E51" i="4"/>
  <c r="E52" i="4"/>
  <c r="E53" i="4"/>
  <c r="E54" i="4"/>
  <c r="E55" i="4"/>
  <c r="E56" i="4"/>
  <c r="E44" i="4"/>
  <c r="H37" i="35"/>
  <c r="H36" i="35"/>
  <c r="H35" i="35"/>
  <c r="H34" i="35"/>
  <c r="H128" i="4" s="1"/>
  <c r="H33" i="35"/>
  <c r="H127" i="4" s="1"/>
  <c r="H32" i="35"/>
  <c r="H126" i="4" s="1"/>
  <c r="H31" i="35"/>
  <c r="H125" i="4" s="1"/>
  <c r="H30" i="35"/>
  <c r="H29" i="35"/>
  <c r="H28" i="35"/>
  <c r="H27" i="35"/>
  <c r="H26" i="35"/>
  <c r="H37" i="34"/>
  <c r="H36" i="34"/>
  <c r="H35" i="34"/>
  <c r="H34" i="34"/>
  <c r="H110" i="4" s="1"/>
  <c r="H33" i="34"/>
  <c r="H109" i="4" s="1"/>
  <c r="H32" i="34"/>
  <c r="H108" i="4" s="1"/>
  <c r="H31" i="34"/>
  <c r="H107" i="4" s="1"/>
  <c r="H30" i="34"/>
  <c r="H106" i="4" s="1"/>
  <c r="H29" i="34"/>
  <c r="H105" i="4" s="1"/>
  <c r="H28" i="34"/>
  <c r="H104" i="4" s="1"/>
  <c r="H27" i="34"/>
  <c r="H26" i="34"/>
  <c r="H37" i="33"/>
  <c r="H36" i="33"/>
  <c r="H35" i="33"/>
  <c r="H34" i="33"/>
  <c r="H91" i="4" s="1"/>
  <c r="H33" i="33"/>
  <c r="H90" i="4" s="1"/>
  <c r="H32" i="33"/>
  <c r="H89" i="4" s="1"/>
  <c r="H31" i="33"/>
  <c r="H88" i="4" s="1"/>
  <c r="H30" i="33"/>
  <c r="H87" i="4" s="1"/>
  <c r="H29" i="33"/>
  <c r="H86" i="4" s="1"/>
  <c r="H28" i="33"/>
  <c r="H85" i="4" s="1"/>
  <c r="H27" i="33"/>
  <c r="H26" i="33"/>
  <c r="H37" i="4"/>
  <c r="H36" i="4"/>
  <c r="H35" i="4"/>
  <c r="H34" i="4"/>
  <c r="H33" i="4"/>
  <c r="H32" i="4"/>
  <c r="H31" i="4"/>
  <c r="H30" i="4"/>
  <c r="H29" i="4"/>
  <c r="H28" i="4"/>
  <c r="H27" i="4"/>
  <c r="H114" i="4" l="1"/>
  <c r="H95" i="4"/>
  <c r="H76" i="4"/>
  <c r="H132" i="4"/>
  <c r="H57" i="4"/>
  <c r="H38" i="4"/>
  <c r="H38" i="35"/>
  <c r="H38" i="34"/>
  <c r="H38" i="36"/>
  <c r="H38" i="33"/>
  <c r="H38" i="3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Consulta - Tabela1" description="Conexão com a consulta 'Tabela1' na pasta de trabalho." type="5" refreshedVersion="2" background="1" saveData="1">
    <dbPr connection="Provider=Microsoft.Mashup.OleDb.1;Data Source=$Workbook$;Location=Tabela1;Extended Properties=&quot;&quot;" command="SELECT * FROM [Tabela1]"/>
  </connection>
  <connection id="2" xr16:uid="{00000000-0015-0000-FFFF-FFFF01000000}" name="Consulta - Tabela3" description="Conexão com a consulta 'Tabela3' na pasta de trabalho." type="5" refreshedVersion="2" background="1" saveData="1">
    <dbPr connection="Provider=Microsoft.Mashup.OleDb.1;Data Source=$Workbook$;Location=Tabela3;Extended Properties=&quot;&quot;" command="SELECT * FROM [Tabela3]"/>
  </connection>
</connections>
</file>

<file path=xl/sharedStrings.xml><?xml version="1.0" encoding="utf-8"?>
<sst xmlns="http://schemas.openxmlformats.org/spreadsheetml/2006/main" count="237" uniqueCount="31">
  <si>
    <t>Externo</t>
  </si>
  <si>
    <t>Fora do prazo</t>
  </si>
  <si>
    <t>Interno</t>
  </si>
  <si>
    <t>Dentro do prazo</t>
  </si>
  <si>
    <t>Misto</t>
  </si>
  <si>
    <t>Insira aqui a sua logo!</t>
  </si>
  <si>
    <t>TURNOVER GLOBAL</t>
  </si>
  <si>
    <t>MOVIMENTAÇÕES</t>
  </si>
  <si>
    <t>MÊS</t>
  </si>
  <si>
    <t>TOTAL COLAB.</t>
  </si>
  <si>
    <t>ENTRADAS</t>
  </si>
  <si>
    <t>SAÍDAS</t>
  </si>
  <si>
    <t>TURNOVER (GLOBAL)</t>
  </si>
  <si>
    <t>DEZEMBRO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</si>
  <si>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</si>
  <si>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</si>
  <si>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</si>
  <si>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</si>
  <si>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</si>
  <si>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</si>
  <si>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</si>
  <si>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</si>
  <si>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</si>
  <si>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</si>
  <si>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</si>
  <si>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TOTAL</t>
  </si>
  <si>
    <t>MOVIMENTAÇÕES - LUBE</t>
  </si>
  <si>
    <t>MOVIMENTAÇÕES - IMPERIO</t>
  </si>
  <si>
    <t>MOVIMENTAÇÕES - SERMAR</t>
  </si>
  <si>
    <t>MOVIMENTAÇÕES - LLOG</t>
  </si>
  <si>
    <t>MOVIMENTAÇÕES - LUBE RJ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</si>
</sst>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0">
    <font>
      <sz val="10"/>
      <color rgb="FF000000"/>
      <name val="Arial"/>
      <charset val="134"/>
    </font>
    <font>
      <sz val="10"/>
      <color rgb="FF000000"/>
      <name val="Avenir LT Std 45 Book"/>
      <charset val="134"/>
    </font>
    <font>
      <b/>
      <u/>
      <sz val="12"/>
      <color theme="0"/>
      <name val="Avenir LT Std 45 Book"/>
      <charset val="134"/>
    </font>
    <font>
      <b/>
      <sz val="24"/>
      <color theme="0"/>
      <name val="Avenir LT Std 45 Book"/>
      <charset val="134"/>
    </font>
    <font>
      <b/>
      <sz val="12"/>
      <color theme="0"/>
      <name val="Avenir LT Std 45 Book"/>
      <charset val="134"/>
    </font>
    <font>
      <b/>
      <sz val="12"/>
      <color theme="1"/>
      <name val="Avenir LT Std 45 Book"/>
      <charset val="134"/>
    </font>
    <font>
      <sz val="12"/>
      <color theme="1"/>
      <name val="Avenir LT Std 45 Book"/>
      <charset val="134"/>
    </font>
    <font>
      <sz val="11"/>
      <color theme="1"/>
      <name val="Avenir LT Std 45 Book"/>
      <charset val="134"/>
    </font>
    <font>
      <sz val="10"/>
      <color rgb="FF000000"/>
      <name val="Arial"/>
      <charset val="134"/>
    </font>
    <font>
      <sz val="8"/>
      <name val="Arial"/>
      <charset val="134"/>
    </font>
  </fonts>
  <fills count="9">
    <fill>
      <patternFill patternType="none"/>
    </fill>
    <fill>
      <patternFill patternType="gray125"/>
    </fill>
    <fill>
      <patternFill patternType="solid">
        <fgColor rgb="FF20178A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34998626667073579"/>
        <bgColor indexed="64"/>
      </patternFill>
    </fill>
  </fills>
  <borders count="24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theme="0"/>
      </right>
      <top style="medium">
        <color auto="1"/>
      </top>
      <bottom style="medium">
        <color auto="1"/>
      </bottom>
      <diagonal/>
    </border>
    <border>
      <left style="thin">
        <color theme="0"/>
      </left>
      <right style="thin">
        <color theme="0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theme="0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</borders>
  <cellStyleXfs count="4">
    <xf numFmtId="0" fontId="0" fillId="0" borderId="0"/>
    <xf numFmtId="4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</cellStyleXfs>
  <cellXfs count="37">
    <xf numFmtId="0" fontId="0" fillId="0" borderId="0" xfId="0"/>
    <xf numFmtId="0" fontId="1" fillId="2" borderId="0" xfId="0" applyFont="1" applyFill="1"/>
    <xf numFmtId="0" fontId="1" fillId="0" borderId="0" xfId="0" applyFont="1"/>
    <xf numFmtId="17" fontId="4" fillId="4" borderId="7" xfId="0" applyNumberFormat="1" applyFont="1" applyFill="1" applyBorder="1" applyAlignment="1">
      <alignment horizontal="center" vertical="center" wrapText="1"/>
    </xf>
    <xf numFmtId="17" fontId="4" fillId="4" borderId="8" xfId="0" applyNumberFormat="1" applyFont="1" applyFill="1" applyBorder="1" applyAlignment="1">
      <alignment horizontal="center" vertical="center" wrapText="1"/>
    </xf>
    <xf numFmtId="17" fontId="5" fillId="6" borderId="9" xfId="0" applyNumberFormat="1" applyFont="1" applyFill="1" applyBorder="1" applyAlignment="1">
      <alignment horizontal="center" vertical="center"/>
    </xf>
    <xf numFmtId="3" fontId="6" fillId="0" borderId="10" xfId="0" applyNumberFormat="1" applyFont="1" applyBorder="1" applyAlignment="1">
      <alignment horizontal="center" vertical="center"/>
    </xf>
    <xf numFmtId="3" fontId="6" fillId="7" borderId="11" xfId="0" applyNumberFormat="1" applyFont="1" applyFill="1" applyBorder="1" applyAlignment="1">
      <alignment horizontal="center" vertical="center"/>
    </xf>
    <xf numFmtId="44" fontId="5" fillId="6" borderId="12" xfId="1" applyFont="1" applyFill="1" applyBorder="1" applyAlignment="1">
      <alignment horizontal="center" vertical="center"/>
    </xf>
    <xf numFmtId="3" fontId="6" fillId="0" borderId="13" xfId="0" applyNumberFormat="1" applyFont="1" applyBorder="1" applyAlignment="1">
      <alignment horizontal="center" vertical="center"/>
    </xf>
    <xf numFmtId="3" fontId="6" fillId="7" borderId="14" xfId="0" applyNumberFormat="1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17" fontId="5" fillId="6" borderId="12" xfId="0" applyNumberFormat="1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3" fontId="6" fillId="0" borderId="16" xfId="0" applyNumberFormat="1" applyFont="1" applyBorder="1" applyAlignment="1">
      <alignment horizontal="center" vertical="center"/>
    </xf>
    <xf numFmtId="17" fontId="4" fillId="4" borderId="18" xfId="0" applyNumberFormat="1" applyFont="1" applyFill="1" applyBorder="1" applyAlignment="1">
      <alignment horizontal="center" vertical="center" wrapText="1"/>
    </xf>
    <xf numFmtId="10" fontId="6" fillId="0" borderId="20" xfId="2" applyNumberFormat="1" applyFont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10" fontId="4" fillId="8" borderId="13" xfId="0" applyNumberFormat="1" applyFont="1" applyFill="1" applyBorder="1" applyAlignment="1">
      <alignment horizontal="center" vertical="center"/>
    </xf>
    <xf numFmtId="17" fontId="5" fillId="5" borderId="9" xfId="0" applyNumberFormat="1" applyFont="1" applyFill="1" applyBorder="1" applyAlignment="1">
      <alignment horizontal="center" vertical="center"/>
    </xf>
    <xf numFmtId="3" fontId="6" fillId="5" borderId="10" xfId="0" applyNumberFormat="1" applyFont="1" applyFill="1" applyBorder="1" applyAlignment="1">
      <alignment horizontal="center" vertical="center"/>
    </xf>
    <xf numFmtId="3" fontId="6" fillId="5" borderId="11" xfId="0" applyNumberFormat="1" applyFont="1" applyFill="1" applyBorder="1" applyAlignment="1">
      <alignment horizontal="center" vertical="center"/>
    </xf>
    <xf numFmtId="44" fontId="6" fillId="5" borderId="21" xfId="1" applyFont="1" applyFill="1" applyBorder="1" applyAlignment="1">
      <alignment horizontal="center" vertical="center"/>
    </xf>
    <xf numFmtId="3" fontId="6" fillId="7" borderId="22" xfId="0" applyNumberFormat="1" applyFont="1" applyFill="1" applyBorder="1" applyAlignment="1">
      <alignment horizontal="center" vertical="center"/>
    </xf>
    <xf numFmtId="10" fontId="6" fillId="0" borderId="23" xfId="2" applyNumberFormat="1" applyFont="1" applyBorder="1" applyAlignment="1">
      <alignment horizontal="center" vertical="center"/>
    </xf>
    <xf numFmtId="1" fontId="7" fillId="0" borderId="19" xfId="1" applyNumberFormat="1" applyFont="1" applyBorder="1" applyAlignment="1">
      <alignment horizontal="center" vertical="center"/>
    </xf>
    <xf numFmtId="1" fontId="7" fillId="0" borderId="20" xfId="1" applyNumberFormat="1" applyFont="1" applyBorder="1" applyAlignment="1">
      <alignment horizontal="center" vertical="center"/>
    </xf>
    <xf numFmtId="17" fontId="4" fillId="3" borderId="6" xfId="0" applyNumberFormat="1" applyFont="1" applyFill="1" applyBorder="1" applyAlignment="1">
      <alignment horizontal="center" vertical="center" wrapText="1"/>
    </xf>
    <xf numFmtId="17" fontId="4" fillId="3" borderId="17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4">
    <cellStyle name="Moeda" xfId="1" builtinId="4"/>
    <cellStyle name="Normal" xfId="0" builtinId="0"/>
    <cellStyle name="Normal 2" xfId="3" xr:uid="{00000000-0005-0000-0000-000031000000}"/>
    <cellStyle name="Porcentagem" xfId="2" builtinId="5"/>
  </cellStyles>
  <dxfs count="0"/>
  <tableStyles count="0" defaultTableStyle="TableStyleMedium2" defaultPivotStyle="PivotStyleLight16"/>
  <colors>
    <mruColors>
      <color rgb="FF20178A"/>
      <color rgb="FFF9F9F9"/>
      <color rgb="FF3366CC"/>
      <color rgb="FFFDD155"/>
      <color rgb="FFF6B85C"/>
      <color rgb="FF2BCBEE"/>
      <color rgb="FFBD92DE"/>
      <color rgb="FFDC72B9"/>
      <color rgb="FFE2E2E2"/>
      <color rgb="FFE9E96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400" b="1" i="0" u="none" strike="noStrike" kern="1200" spc="0" baseline="0">
                <a:solidFill>
                  <a:sysClr val="windowText" lastClr="000000"/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TURNOVER GLOBAL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400" b="1" i="0" u="none" strike="noStrike" kern="1200" spc="0" baseline="0">
              <a:solidFill>
                <a:sysClr val="windowText" lastClr="000000"/>
              </a:solidFill>
              <a:latin typeface="Avenir LT Std 45 Book" panose="020B0502020203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pt-BR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venir LT Std 45 Book" panose="020B0502020203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'TURNOVER GLOBAL-2025'!$D$26:$D$37</c:f>
              <c:strCache>
                <c:ptCount val="12"/>
                <c:pt idx="0">
                  <c:v>JANEIRO</c:v>
                </c:pt>
                <c:pt idx="1">
                  <c:v> FEVEREIRO </c:v>
                </c:pt>
                <c:pt idx="2">
                  <c:v>MARÇO</c:v>
                </c:pt>
                <c:pt idx="3">
                  <c:v>ABRIL</c:v>
                </c:pt>
                <c:pt idx="4">
                  <c:v> MAIO </c:v>
                </c:pt>
                <c:pt idx="5">
                  <c:v>JUNHO</c:v>
                </c:pt>
                <c:pt idx="6">
                  <c:v>JULHO</c:v>
                </c:pt>
                <c:pt idx="7">
                  <c:v> AGOSTO </c:v>
                </c:pt>
                <c:pt idx="8">
                  <c:v>SETEMBRO</c:v>
                </c:pt>
                <c:pt idx="9">
                  <c:v>OUTUBRO</c:v>
                </c:pt>
                <c:pt idx="10">
                  <c:v> NOVEMBRO </c:v>
                </c:pt>
                <c:pt idx="11">
                  <c:v>DEZEMBRO</c:v>
                </c:pt>
              </c:strCache>
            </c:strRef>
          </c:cat>
          <c:val>
            <c:numRef>
              <c:f>'TURNOVER GLOBAL-2025'!$H$26:$H$37</c:f>
              <c:numCache>
                <c:formatCode>0.00%</c:formatCode>
                <c:ptCount val="12"/>
                <c:pt idx="0">
                  <c:v>6.4516129032258063E-2</c:v>
                </c:pt>
                <c:pt idx="1">
                  <c:v>3.9170506912442393E-2</c:v>
                </c:pt>
                <c:pt idx="2">
                  <c:v>6.9047619047619052E-2</c:v>
                </c:pt>
                <c:pt idx="3">
                  <c:v>7.2429906542056069E-2</c:v>
                </c:pt>
                <c:pt idx="4">
                  <c:v>4.5893719806763288E-2</c:v>
                </c:pt>
                <c:pt idx="5">
                  <c:v>3.9215686274509803E-2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 </c15:sqref>
                        </c15:formulaRef>
                      </c:ext>
                    </c:extLst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9417-4DE3-9F67-948065D2FF3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1"/>
        <c:overlap val="-27"/>
        <c:axId val="165659776"/>
        <c:axId val="165661312"/>
      </c:barChart>
      <c:catAx>
        <c:axId val="165659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1" i="0" u="none" strike="noStrike" kern="1200" baseline="0">
                <a:solidFill>
                  <a:sysClr val="windowText" lastClr="000000"/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pt-BR"/>
          </a:p>
        </c:txPr>
        <c:crossAx val="165661312"/>
        <c:crosses val="autoZero"/>
        <c:auto val="1"/>
        <c:lblAlgn val="ctr"/>
        <c:lblOffset val="100"/>
        <c:noMultiLvlLbl val="0"/>
      </c:catAx>
      <c:valAx>
        <c:axId val="16566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pt-BR"/>
          </a:p>
        </c:txPr>
        <c:crossAx val="165659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b442228-3ce7-4dc5-9d5e-04fcbfe5907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pt-BR">
          <a:latin typeface="Avenir LT Std 45 Book" panose="020B0502020203020204" pitchFamily="34" charset="0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400" b="1" i="0" u="none" strike="noStrike" kern="1200" spc="0" baseline="0">
                <a:solidFill>
                  <a:sysClr val="windowText" lastClr="000000"/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TURNOVER GLOBAL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400" b="1" i="0" u="none" strike="noStrike" kern="1200" spc="0" baseline="0">
              <a:solidFill>
                <a:sysClr val="windowText" lastClr="000000"/>
              </a:solidFill>
              <a:latin typeface="Avenir LT Std 45 Book" panose="020B0502020203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'LUBE ES'!$H$24</c:f>
              <c:strCache>
                <c:ptCount val="1"/>
                <c:pt idx="0">
                  <c:v>TURNOVER (GLOBAL)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pt-BR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venir LT Std 45 Book" panose="020B0502020203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'LUBE ES'!$D$26:$D$37</c:f>
              <c:strCache>
                <c:ptCount val="12"/>
                <c:pt idx="0">
                  <c:v>JANEIRO</c:v>
                </c:pt>
                <c:pt idx="1">
                  <c:v> FEVEREIRO </c:v>
                </c:pt>
                <c:pt idx="2">
                  <c:v>MARÇO</c:v>
                </c:pt>
                <c:pt idx="3">
                  <c:v>ABRIL</c:v>
                </c:pt>
                <c:pt idx="4">
                  <c:v> MAIO </c:v>
                </c:pt>
                <c:pt idx="5">
                  <c:v>JUNHO</c:v>
                </c:pt>
                <c:pt idx="6">
                  <c:v>JULHO</c:v>
                </c:pt>
                <c:pt idx="7">
                  <c:v> AGOSTO </c:v>
                </c:pt>
                <c:pt idx="8">
                  <c:v>SETEMBRO</c:v>
                </c:pt>
                <c:pt idx="9">
                  <c:v>OUTUBRO</c:v>
                </c:pt>
                <c:pt idx="10">
                  <c:v> NOVEMBRO </c:v>
                </c:pt>
                <c:pt idx="11">
                  <c:v>DEZEMBRO</c:v>
                </c:pt>
              </c:strCache>
            </c:strRef>
          </c:cat>
          <c:val>
            <c:numRef>
              <c:f>'LUBE ES'!$H$26:$H$37</c:f>
              <c:numCache>
                <c:formatCode>0.00%</c:formatCode>
                <c:ptCount val="12"/>
                <c:pt idx="0">
                  <c:v>2.7522935779816515E-2</c:v>
                </c:pt>
                <c:pt idx="1">
                  <c:v>2.2727272727272728E-2</c:v>
                </c:pt>
                <c:pt idx="2">
                  <c:v>4.807692307692308E-2</c:v>
                </c:pt>
                <c:pt idx="3">
                  <c:v>5.8035714285714288E-2</c:v>
                </c:pt>
                <c:pt idx="4">
                  <c:v>3.4782608695652174E-2</c:v>
                </c:pt>
                <c:pt idx="5">
                  <c:v>3.5087719298245612E-2</c:v>
                </c:pt>
                <c:pt idx="6">
                  <c:v>4.5871559633027525E-2</c:v>
                </c:pt>
                <c:pt idx="7">
                  <c:v>6.637168141592921E-2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D9-498C-960F-F0683D8CD1C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1"/>
        <c:overlap val="-27"/>
        <c:axId val="165659776"/>
        <c:axId val="165661312"/>
      </c:barChart>
      <c:catAx>
        <c:axId val="165659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1" i="0" u="none" strike="noStrike" kern="1200" baseline="0">
                <a:solidFill>
                  <a:sysClr val="windowText" lastClr="000000"/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pt-BR"/>
          </a:p>
        </c:txPr>
        <c:crossAx val="165661312"/>
        <c:crosses val="autoZero"/>
        <c:auto val="1"/>
        <c:lblAlgn val="ctr"/>
        <c:lblOffset val="100"/>
        <c:noMultiLvlLbl val="0"/>
      </c:catAx>
      <c:valAx>
        <c:axId val="16566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pt-BR"/>
          </a:p>
        </c:txPr>
        <c:crossAx val="165659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b442228-3ce7-4dc5-9d5e-04fcbfe5907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pt-BR">
          <a:latin typeface="Avenir LT Std 45 Book" panose="020B0502020203020204" pitchFamily="34" charset="0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400" b="1" i="0" u="none" strike="noStrike" kern="1200" spc="0" baseline="0">
                <a:solidFill>
                  <a:sysClr val="windowText" lastClr="000000"/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TURNOVER GLOBAL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400" b="1" i="0" u="none" strike="noStrike" kern="1200" spc="0" baseline="0">
              <a:solidFill>
                <a:sysClr val="windowText" lastClr="000000"/>
              </a:solidFill>
              <a:latin typeface="Avenir LT Std 45 Book" panose="020B0502020203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'LUBE RJ'!$H$24</c:f>
              <c:strCache>
                <c:ptCount val="1"/>
                <c:pt idx="0">
                  <c:v>TURNOVER (GLOBAL)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pt-BR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venir LT Std 45 Book" panose="020B0502020203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'LUBE RJ'!$D$26:$D$37</c:f>
              <c:strCache>
                <c:ptCount val="12"/>
                <c:pt idx="0">
                  <c:v>JANEIRO</c:v>
                </c:pt>
                <c:pt idx="1">
                  <c:v> FEVEREIRO </c:v>
                </c:pt>
                <c:pt idx="2">
                  <c:v>MARÇO</c:v>
                </c:pt>
                <c:pt idx="3">
                  <c:v>ABRIL</c:v>
                </c:pt>
                <c:pt idx="4">
                  <c:v> MAIO </c:v>
                </c:pt>
                <c:pt idx="5">
                  <c:v>JUNHO</c:v>
                </c:pt>
                <c:pt idx="6">
                  <c:v>JULHO</c:v>
                </c:pt>
                <c:pt idx="7">
                  <c:v> AGOSTO </c:v>
                </c:pt>
                <c:pt idx="8">
                  <c:v>SETEMBRO</c:v>
                </c:pt>
                <c:pt idx="9">
                  <c:v>OUTUBRO</c:v>
                </c:pt>
                <c:pt idx="10">
                  <c:v> NOVEMBRO </c:v>
                </c:pt>
                <c:pt idx="11">
                  <c:v>DEZEMBRO</c:v>
                </c:pt>
              </c:strCache>
            </c:strRef>
          </c:cat>
          <c:val>
            <c:numRef>
              <c:f>'LUBE RJ'!$H$26:$H$37</c:f>
              <c:numCache>
                <c:formatCode>0.00%</c:formatCode>
                <c:ptCount val="12"/>
                <c:pt idx="0">
                  <c:v>0</c:v>
                </c:pt>
                <c:pt idx="1">
                  <c:v>0.5</c:v>
                </c:pt>
                <c:pt idx="2">
                  <c:v>0.45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4.5454545454545456E-2</c:v>
                </c:pt>
                <c:pt idx="7">
                  <c:v>4.1666666666666664E-2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8A-43E9-B7C5-E08FBE49A0C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1"/>
        <c:overlap val="-27"/>
        <c:axId val="165659776"/>
        <c:axId val="165661312"/>
      </c:barChart>
      <c:catAx>
        <c:axId val="165659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1" i="0" u="none" strike="noStrike" kern="1200" baseline="0">
                <a:solidFill>
                  <a:sysClr val="windowText" lastClr="000000"/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pt-BR"/>
          </a:p>
        </c:txPr>
        <c:crossAx val="165661312"/>
        <c:crosses val="autoZero"/>
        <c:auto val="1"/>
        <c:lblAlgn val="ctr"/>
        <c:lblOffset val="100"/>
        <c:noMultiLvlLbl val="0"/>
      </c:catAx>
      <c:valAx>
        <c:axId val="16566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pt-BR"/>
          </a:p>
        </c:txPr>
        <c:crossAx val="165659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b442228-3ce7-4dc5-9d5e-04fcbfe5907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pt-BR">
          <a:latin typeface="Avenir LT Std 45 Book" panose="020B0502020203020204" pitchFamily="34" charset="0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400" b="1" i="0" u="none" strike="noStrike" kern="1200" spc="0" baseline="0">
                <a:solidFill>
                  <a:sysClr val="windowText" lastClr="000000"/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TURNOVER GLOBAL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400" b="1" i="0" u="none" strike="noStrike" kern="1200" spc="0" baseline="0">
              <a:solidFill>
                <a:sysClr val="windowText" lastClr="000000"/>
              </a:solidFill>
              <a:latin typeface="Avenir LT Std 45 Book" panose="020B0502020203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LLOG!$H$24</c:f>
              <c:strCache>
                <c:ptCount val="1"/>
                <c:pt idx="0">
                  <c:v>TURNOVER (GLOBAL)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pt-BR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venir LT Std 45 Book" panose="020B0502020203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LLOG!$D$26:$D$37</c:f>
              <c:strCache>
                <c:ptCount val="12"/>
                <c:pt idx="0">
                  <c:v>JANEIRO</c:v>
                </c:pt>
                <c:pt idx="1">
                  <c:v> FEVEREIRO </c:v>
                </c:pt>
                <c:pt idx="2">
                  <c:v>MARÇO</c:v>
                </c:pt>
                <c:pt idx="3">
                  <c:v>ABRIL</c:v>
                </c:pt>
                <c:pt idx="4">
                  <c:v> MAIO </c:v>
                </c:pt>
                <c:pt idx="5">
                  <c:v>JUNHO</c:v>
                </c:pt>
                <c:pt idx="6">
                  <c:v>JULHO</c:v>
                </c:pt>
                <c:pt idx="7">
                  <c:v> AGOSTO </c:v>
                </c:pt>
                <c:pt idx="8">
                  <c:v>SETEMBRO</c:v>
                </c:pt>
                <c:pt idx="9">
                  <c:v>OUTUBRO</c:v>
                </c:pt>
                <c:pt idx="10">
                  <c:v> NOVEMBRO </c:v>
                </c:pt>
                <c:pt idx="11">
                  <c:v>DEZEMBRO</c:v>
                </c:pt>
              </c:strCache>
            </c:strRef>
          </c:cat>
          <c:val>
            <c:numRef>
              <c:f>LLOG!$H$26:$H$37</c:f>
              <c:numCache>
                <c:formatCode>0.00%</c:formatCode>
                <c:ptCount val="12"/>
                <c:pt idx="0">
                  <c:v>1.3888888888888888E-2</c:v>
                </c:pt>
                <c:pt idx="1">
                  <c:v>0.06</c:v>
                </c:pt>
                <c:pt idx="2">
                  <c:v>4.6052631578947366E-2</c:v>
                </c:pt>
                <c:pt idx="3">
                  <c:v>3.4246575342465752E-2</c:v>
                </c:pt>
                <c:pt idx="4">
                  <c:v>5.7142857142857141E-2</c:v>
                </c:pt>
                <c:pt idx="5">
                  <c:v>5.8823529411764705E-2</c:v>
                </c:pt>
                <c:pt idx="6">
                  <c:v>7.3529411764705885E-2</c:v>
                </c:pt>
                <c:pt idx="7">
                  <c:v>8.0882352941176475E-2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A1-47B1-8186-F27CAEA6B94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1"/>
        <c:overlap val="-27"/>
        <c:axId val="165659776"/>
        <c:axId val="165661312"/>
      </c:barChart>
      <c:catAx>
        <c:axId val="165659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1" i="0" u="none" strike="noStrike" kern="1200" baseline="0">
                <a:solidFill>
                  <a:sysClr val="windowText" lastClr="000000"/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pt-BR"/>
          </a:p>
        </c:txPr>
        <c:crossAx val="165661312"/>
        <c:crosses val="autoZero"/>
        <c:auto val="1"/>
        <c:lblAlgn val="ctr"/>
        <c:lblOffset val="100"/>
        <c:noMultiLvlLbl val="0"/>
      </c:catAx>
      <c:valAx>
        <c:axId val="16566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pt-BR"/>
          </a:p>
        </c:txPr>
        <c:crossAx val="165659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b442228-3ce7-4dc5-9d5e-04fcbfe5907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pt-BR">
          <a:latin typeface="Avenir LT Std 45 Book" panose="020B0502020203020204" pitchFamily="34" charset="0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400" b="1" i="0" u="none" strike="noStrike" kern="1200" spc="0" baseline="0">
                <a:solidFill>
                  <a:sysClr val="windowText" lastClr="000000"/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TURNOVER GLOBAL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400" b="1" i="0" u="none" strike="noStrike" kern="1200" spc="0" baseline="0">
              <a:solidFill>
                <a:sysClr val="windowText" lastClr="000000"/>
              </a:solidFill>
              <a:latin typeface="Avenir LT Std 45 Book" panose="020B0502020203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'IMPERIO '!$H$24</c:f>
              <c:strCache>
                <c:ptCount val="1"/>
                <c:pt idx="0">
                  <c:v>TURNOVER (GLOBAL)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pt-BR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venir LT Std 45 Book" panose="020B0502020203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'IMPERIO '!$D$26:$D$37</c:f>
              <c:strCache>
                <c:ptCount val="12"/>
                <c:pt idx="0">
                  <c:v>JANEIRO</c:v>
                </c:pt>
                <c:pt idx="1">
                  <c:v> FEVEREIRO </c:v>
                </c:pt>
                <c:pt idx="2">
                  <c:v>MARÇO</c:v>
                </c:pt>
                <c:pt idx="3">
                  <c:v>ABRIL</c:v>
                </c:pt>
                <c:pt idx="4">
                  <c:v> MAIO </c:v>
                </c:pt>
                <c:pt idx="5">
                  <c:v>JUNHO</c:v>
                </c:pt>
                <c:pt idx="6">
                  <c:v>JULHO</c:v>
                </c:pt>
                <c:pt idx="7">
                  <c:v> AGOSTO </c:v>
                </c:pt>
                <c:pt idx="8">
                  <c:v>SETEMBRO</c:v>
                </c:pt>
                <c:pt idx="9">
                  <c:v>OUTUBRO</c:v>
                </c:pt>
                <c:pt idx="10">
                  <c:v> NOVEMBRO </c:v>
                </c:pt>
                <c:pt idx="11">
                  <c:v>DEZEMBRO</c:v>
                </c:pt>
              </c:strCache>
            </c:strRef>
          </c:cat>
          <c:val>
            <c:numRef>
              <c:f>'IMPERIO '!$H$26:$H$37</c:f>
              <c:numCache>
                <c:formatCode>0.00%</c:formatCode>
                <c:ptCount val="12"/>
                <c:pt idx="0">
                  <c:v>3.7037037037037035E-2</c:v>
                </c:pt>
                <c:pt idx="1">
                  <c:v>6.8181818181818177E-2</c:v>
                </c:pt>
                <c:pt idx="2">
                  <c:v>6.25E-2</c:v>
                </c:pt>
                <c:pt idx="3">
                  <c:v>8.3333333333333329E-2</c:v>
                </c:pt>
                <c:pt idx="4">
                  <c:v>0.1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05-4B7F-B91F-CDAE615C159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1"/>
        <c:overlap val="-27"/>
        <c:axId val="165659776"/>
        <c:axId val="165661312"/>
      </c:barChart>
      <c:catAx>
        <c:axId val="165659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1" i="0" u="none" strike="noStrike" kern="1200" baseline="0">
                <a:solidFill>
                  <a:sysClr val="windowText" lastClr="000000"/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pt-BR"/>
          </a:p>
        </c:txPr>
        <c:crossAx val="165661312"/>
        <c:crosses val="autoZero"/>
        <c:auto val="1"/>
        <c:lblAlgn val="ctr"/>
        <c:lblOffset val="100"/>
        <c:noMultiLvlLbl val="0"/>
      </c:catAx>
      <c:valAx>
        <c:axId val="16566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pt-BR"/>
          </a:p>
        </c:txPr>
        <c:crossAx val="165659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b442228-3ce7-4dc5-9d5e-04fcbfe5907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pt-BR">
          <a:latin typeface="Avenir LT Std 45 Book" panose="020B0502020203020204" pitchFamily="34" charset="0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pt-BR" sz="1400" b="1" i="0" u="none" strike="noStrike" kern="1200" spc="0" baseline="0">
                <a:solidFill>
                  <a:sysClr val="windowText" lastClr="000000"/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TURNOVER GLOBAL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pt-BR" sz="1400" b="1" i="0" u="none" strike="noStrike" kern="1200" spc="0" baseline="0">
              <a:solidFill>
                <a:sysClr val="windowText" lastClr="000000"/>
              </a:solidFill>
              <a:latin typeface="Avenir LT Std 45 Book" panose="020B0502020203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SERMAR!$H$24</c:f>
              <c:strCache>
                <c:ptCount val="1"/>
                <c:pt idx="0">
                  <c:v>TURNOVER (GLOBAL)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/>
              <a:lstStyle/>
              <a:p>
                <a:pPr>
                  <a:defRPr lang="pt-BR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venir LT Std 45 Book" panose="020B0502020203020204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SERMAR!$D$26:$D$37</c:f>
              <c:strCache>
                <c:ptCount val="12"/>
                <c:pt idx="0">
                  <c:v>JANEIRO</c:v>
                </c:pt>
                <c:pt idx="1">
                  <c:v> FEVEREIRO </c:v>
                </c:pt>
                <c:pt idx="2">
                  <c:v>MARÇO</c:v>
                </c:pt>
                <c:pt idx="3">
                  <c:v>ABRIL</c:v>
                </c:pt>
                <c:pt idx="4">
                  <c:v> MAIO </c:v>
                </c:pt>
                <c:pt idx="5">
                  <c:v>JUNHO</c:v>
                </c:pt>
                <c:pt idx="6">
                  <c:v>JULHO</c:v>
                </c:pt>
                <c:pt idx="7">
                  <c:v> AGOSTO </c:v>
                </c:pt>
                <c:pt idx="8">
                  <c:v>SETEMBRO</c:v>
                </c:pt>
                <c:pt idx="9">
                  <c:v>OUTUBRO</c:v>
                </c:pt>
                <c:pt idx="10">
                  <c:v> NOVEMBRO </c:v>
                </c:pt>
                <c:pt idx="11">
                  <c:v>DEZEMBRO</c:v>
                </c:pt>
              </c:strCache>
            </c:strRef>
          </c:cat>
          <c:val>
            <c:numRef>
              <c:f>SERMAR!$H$26:$H$37</c:f>
              <c:numCache>
                <c:formatCode>0.00%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7.1428571428571425E-2</c:v>
                </c:pt>
                <c:pt idx="4">
                  <c:v>7.1428571428571425E-2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D7-44B2-9AE8-066BE98ECA2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1"/>
        <c:overlap val="-27"/>
        <c:axId val="165659776"/>
        <c:axId val="165661312"/>
      </c:barChart>
      <c:catAx>
        <c:axId val="165659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1" i="0" u="none" strike="noStrike" kern="1200" baseline="0">
                <a:solidFill>
                  <a:sysClr val="windowText" lastClr="000000"/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pt-BR"/>
          </a:p>
        </c:txPr>
        <c:crossAx val="165661312"/>
        <c:crosses val="autoZero"/>
        <c:auto val="1"/>
        <c:lblAlgn val="ctr"/>
        <c:lblOffset val="100"/>
        <c:noMultiLvlLbl val="0"/>
      </c:catAx>
      <c:valAx>
        <c:axId val="16566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pt-BR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venir LT Std 45 Book" panose="020B0502020203020204" pitchFamily="34" charset="0"/>
                <a:ea typeface="+mn-ea"/>
                <a:cs typeface="+mn-cs"/>
              </a:defRPr>
            </a:pPr>
            <a:endParaRPr lang="pt-BR"/>
          </a:p>
        </c:txPr>
        <c:crossAx val="165659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b442228-3ce7-4dc5-9d5e-04fcbfe5907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pt-BR">
          <a:latin typeface="Avenir LT Std 45 Book" panose="020B0502020203020204" pitchFamily="34" charset="0"/>
        </a:defRPr>
      </a:pPr>
      <a:endParaRPr lang="pt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TURNOVER GLOBAL'!A1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5" Type="http://schemas.openxmlformats.org/officeDocument/2006/relationships/image" Target="../media/image2.png"/><Relationship Id="rId4" Type="http://schemas.openxmlformats.org/officeDocument/2006/relationships/hyperlink" Target="#'TURNOVER SUBSTITUI&#199;&#195;O'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'TURNOVER GLOBAL'!A1"/><Relationship Id="rId2" Type="http://schemas.openxmlformats.org/officeDocument/2006/relationships/chart" Target="../charts/chart2.xml"/><Relationship Id="rId1" Type="http://schemas.openxmlformats.org/officeDocument/2006/relationships/image" Target="../media/image3.png"/><Relationship Id="rId5" Type="http://schemas.openxmlformats.org/officeDocument/2006/relationships/image" Target="../media/image2.png"/><Relationship Id="rId4" Type="http://schemas.openxmlformats.org/officeDocument/2006/relationships/hyperlink" Target="#'TURNOVER SUBSTITUI&#199;&#195;O'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'TURNOVER GLOBAL'!A1"/><Relationship Id="rId2" Type="http://schemas.openxmlformats.org/officeDocument/2006/relationships/chart" Target="../charts/chart3.xml"/><Relationship Id="rId1" Type="http://schemas.openxmlformats.org/officeDocument/2006/relationships/image" Target="../media/image3.png"/><Relationship Id="rId5" Type="http://schemas.openxmlformats.org/officeDocument/2006/relationships/image" Target="../media/image2.png"/><Relationship Id="rId4" Type="http://schemas.openxmlformats.org/officeDocument/2006/relationships/hyperlink" Target="#'TURNOVER SUBSTITUI&#199;&#195;O'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'TURNOVER GLOBAL'!A1"/><Relationship Id="rId2" Type="http://schemas.openxmlformats.org/officeDocument/2006/relationships/chart" Target="../charts/chart4.xml"/><Relationship Id="rId1" Type="http://schemas.openxmlformats.org/officeDocument/2006/relationships/image" Target="../media/image3.png"/><Relationship Id="rId5" Type="http://schemas.openxmlformats.org/officeDocument/2006/relationships/image" Target="../media/image2.png"/><Relationship Id="rId4" Type="http://schemas.openxmlformats.org/officeDocument/2006/relationships/hyperlink" Target="#'TURNOVER SUBSTITUI&#199;&#195;O'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'TURNOVER GLOBAL'!A1"/><Relationship Id="rId2" Type="http://schemas.openxmlformats.org/officeDocument/2006/relationships/chart" Target="../charts/chart5.xml"/><Relationship Id="rId1" Type="http://schemas.openxmlformats.org/officeDocument/2006/relationships/image" Target="../media/image3.png"/><Relationship Id="rId5" Type="http://schemas.openxmlformats.org/officeDocument/2006/relationships/image" Target="../media/image2.png"/><Relationship Id="rId4" Type="http://schemas.openxmlformats.org/officeDocument/2006/relationships/hyperlink" Target="#'TURNOVER SUBSTITUI&#199;&#195;O'!A1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'TURNOVER GLOBAL'!A1"/><Relationship Id="rId2" Type="http://schemas.openxmlformats.org/officeDocument/2006/relationships/chart" Target="../charts/chart6.xml"/><Relationship Id="rId1" Type="http://schemas.openxmlformats.org/officeDocument/2006/relationships/image" Target="../media/image3.png"/><Relationship Id="rId5" Type="http://schemas.openxmlformats.org/officeDocument/2006/relationships/image" Target="../media/image2.png"/><Relationship Id="rId4" Type="http://schemas.openxmlformats.org/officeDocument/2006/relationships/hyperlink" Target="#'TURNOVER SUBSTITUI&#199;&#195;O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341311</xdr:colOff>
      <xdr:row>0</xdr:row>
      <xdr:rowOff>38365</xdr:rowOff>
    </xdr:from>
    <xdr:to>
      <xdr:col>11</xdr:col>
      <xdr:colOff>98953</xdr:colOff>
      <xdr:row>3</xdr:row>
      <xdr:rowOff>85990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82" t="3109" r="23689" b="67358"/>
        <a:stretch>
          <a:fillRect/>
        </a:stretch>
      </xdr:blipFill>
      <xdr:spPr>
        <a:xfrm>
          <a:off x="13028295" y="38100"/>
          <a:ext cx="3738880" cy="990600"/>
        </a:xfrm>
        <a:prstGeom prst="rect">
          <a:avLst/>
        </a:prstGeom>
      </xdr:spPr>
    </xdr:pic>
    <xdr:clientData/>
  </xdr:twoCellAnchor>
  <xdr:twoCellAnchor>
    <xdr:from>
      <xdr:col>3</xdr:col>
      <xdr:colOff>5952</xdr:colOff>
      <xdr:row>4</xdr:row>
      <xdr:rowOff>83343</xdr:rowOff>
    </xdr:from>
    <xdr:to>
      <xdr:col>8</xdr:col>
      <xdr:colOff>23812</xdr:colOff>
      <xdr:row>20</xdr:row>
      <xdr:rowOff>154780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5</xdr:row>
      <xdr:rowOff>0</xdr:rowOff>
    </xdr:from>
    <xdr:to>
      <xdr:col>0</xdr:col>
      <xdr:colOff>1735667</xdr:colOff>
      <xdr:row>5</xdr:row>
      <xdr:rowOff>294803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0" y="1200150"/>
          <a:ext cx="1735455" cy="294640"/>
        </a:xfrm>
        <a:prstGeom prst="roundRect">
          <a:avLst>
            <a:gd name="adj" fmla="val 50000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300" b="1" baseline="0">
              <a:solidFill>
                <a:schemeClr val="bg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Avenir LT Std 45 Book" panose="020B0502020203020204" pitchFamily="34" charset="0"/>
              <a:cs typeface="Aharoni" panose="02010803020104030203" pitchFamily="2" charset="-79"/>
            </a:rPr>
            <a:t>GLOBAL</a:t>
          </a:r>
          <a:endParaRPr lang="pt-BR" sz="1300" b="1">
            <a:solidFill>
              <a:schemeClr val="bg1"/>
            </a:solidFill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  <a:latin typeface="Avenir LT Std 45 Book" panose="020B0502020203020204" pitchFamily="34" charset="0"/>
            <a:cs typeface="Aharoni" panose="02010803020104030203" pitchFamily="2" charset="-79"/>
          </a:endParaRPr>
        </a:p>
      </xdr:txBody>
    </xdr:sp>
    <xdr:clientData/>
  </xdr:twoCellAnchor>
  <xdr:twoCellAnchor>
    <xdr:from>
      <xdr:col>0</xdr:col>
      <xdr:colOff>0</xdr:colOff>
      <xdr:row>5</xdr:row>
      <xdr:rowOff>369094</xdr:rowOff>
    </xdr:from>
    <xdr:to>
      <xdr:col>0</xdr:col>
      <xdr:colOff>1735667</xdr:colOff>
      <xdr:row>7</xdr:row>
      <xdr:rowOff>9053</xdr:rowOff>
    </xdr:to>
    <xdr:sp macro="" textlink="">
      <xdr:nvSpPr>
        <xdr:cNvPr id="7" name="Retângulo: Cantos Arredondados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0" y="1569085"/>
          <a:ext cx="1735455" cy="287655"/>
        </a:xfrm>
        <a:prstGeom prst="roundRect">
          <a:avLst>
            <a:gd name="adj" fmla="val 50000"/>
          </a:avLst>
        </a:prstGeom>
        <a:solidFill>
          <a:schemeClr val="bg1">
            <a:lumMod val="6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300" b="1" baseline="0">
              <a:solidFill>
                <a:schemeClr val="bg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Avenir LT Std 45 Book" panose="020B0502020203020204" pitchFamily="34" charset="0"/>
              <a:cs typeface="Aharoni" panose="02010803020104030203" pitchFamily="2" charset="-79"/>
            </a:rPr>
            <a:t>SUBSTITUIÇÃO</a:t>
          </a:r>
          <a:endParaRPr lang="pt-BR" sz="1300" b="1">
            <a:solidFill>
              <a:schemeClr val="bg1"/>
            </a:solidFill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  <a:latin typeface="Avenir LT Std 45 Book" panose="020B0502020203020204" pitchFamily="34" charset="0"/>
            <a:cs typeface="Aharoni" panose="02010803020104030203" pitchFamily="2" charset="-79"/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11906</xdr:colOff>
      <xdr:row>3</xdr:row>
      <xdr:rowOff>83343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935480" cy="10261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341311</xdr:colOff>
      <xdr:row>0</xdr:row>
      <xdr:rowOff>38365</xdr:rowOff>
    </xdr:from>
    <xdr:to>
      <xdr:col>13</xdr:col>
      <xdr:colOff>289453</xdr:colOff>
      <xdr:row>6</xdr:row>
      <xdr:rowOff>57415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D7E7473-8C3D-4754-854B-61A383B251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82" t="3109" r="23689" b="67358"/>
        <a:stretch>
          <a:fillRect/>
        </a:stretch>
      </xdr:blipFill>
      <xdr:spPr>
        <a:xfrm>
          <a:off x="13028611" y="38365"/>
          <a:ext cx="3739092" cy="990600"/>
        </a:xfrm>
        <a:prstGeom prst="rect">
          <a:avLst/>
        </a:prstGeom>
      </xdr:spPr>
    </xdr:pic>
    <xdr:clientData/>
  </xdr:twoCellAnchor>
  <xdr:twoCellAnchor>
    <xdr:from>
      <xdr:col>3</xdr:col>
      <xdr:colOff>5952</xdr:colOff>
      <xdr:row>4</xdr:row>
      <xdr:rowOff>83343</xdr:rowOff>
    </xdr:from>
    <xdr:to>
      <xdr:col>8</xdr:col>
      <xdr:colOff>23812</xdr:colOff>
      <xdr:row>20</xdr:row>
      <xdr:rowOff>154780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135B833-7722-4C2C-B761-B9427264C0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5</xdr:row>
      <xdr:rowOff>0</xdr:rowOff>
    </xdr:from>
    <xdr:to>
      <xdr:col>0</xdr:col>
      <xdr:colOff>1735667</xdr:colOff>
      <xdr:row>5</xdr:row>
      <xdr:rowOff>294803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066E0A9-79F2-4720-A0E1-3B67DEE522D9}"/>
            </a:ext>
          </a:extLst>
        </xdr:cNvPr>
        <xdr:cNvSpPr/>
      </xdr:nvSpPr>
      <xdr:spPr>
        <a:xfrm>
          <a:off x="0" y="1200150"/>
          <a:ext cx="1735667" cy="294803"/>
        </a:xfrm>
        <a:prstGeom prst="roundRect">
          <a:avLst>
            <a:gd name="adj" fmla="val 50000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300" b="1" baseline="0">
              <a:solidFill>
                <a:schemeClr val="bg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Avenir LT Std 45 Book" panose="020B0502020203020204" pitchFamily="34" charset="0"/>
              <a:cs typeface="Aharoni" panose="02010803020104030203" pitchFamily="2" charset="-79"/>
            </a:rPr>
            <a:t>GLOBAL</a:t>
          </a:r>
          <a:endParaRPr lang="pt-BR" sz="1300" b="1">
            <a:solidFill>
              <a:schemeClr val="bg1"/>
            </a:solidFill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  <a:latin typeface="Avenir LT Std 45 Book" panose="020B0502020203020204" pitchFamily="34" charset="0"/>
            <a:cs typeface="Aharoni" panose="02010803020104030203" pitchFamily="2" charset="-79"/>
          </a:endParaRPr>
        </a:p>
      </xdr:txBody>
    </xdr:sp>
    <xdr:clientData/>
  </xdr:twoCellAnchor>
  <xdr:twoCellAnchor>
    <xdr:from>
      <xdr:col>0</xdr:col>
      <xdr:colOff>0</xdr:colOff>
      <xdr:row>5</xdr:row>
      <xdr:rowOff>369094</xdr:rowOff>
    </xdr:from>
    <xdr:to>
      <xdr:col>0</xdr:col>
      <xdr:colOff>1735667</xdr:colOff>
      <xdr:row>7</xdr:row>
      <xdr:rowOff>9053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F8BF665-F03A-4C92-9A2A-75D0EEF93BDD}"/>
            </a:ext>
          </a:extLst>
        </xdr:cNvPr>
        <xdr:cNvSpPr/>
      </xdr:nvSpPr>
      <xdr:spPr>
        <a:xfrm>
          <a:off x="0" y="1569244"/>
          <a:ext cx="1735667" cy="278134"/>
        </a:xfrm>
        <a:prstGeom prst="roundRect">
          <a:avLst>
            <a:gd name="adj" fmla="val 50000"/>
          </a:avLst>
        </a:prstGeom>
        <a:solidFill>
          <a:schemeClr val="bg1">
            <a:lumMod val="6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300" b="1" baseline="0">
              <a:solidFill>
                <a:schemeClr val="bg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Avenir LT Std 45 Book" panose="020B0502020203020204" pitchFamily="34" charset="0"/>
              <a:cs typeface="Aharoni" panose="02010803020104030203" pitchFamily="2" charset="-79"/>
            </a:rPr>
            <a:t>SUBSTITUIÇÃO</a:t>
          </a:r>
          <a:endParaRPr lang="pt-BR" sz="1300" b="1">
            <a:solidFill>
              <a:schemeClr val="bg1"/>
            </a:solidFill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  <a:latin typeface="Avenir LT Std 45 Book" panose="020B0502020203020204" pitchFamily="34" charset="0"/>
            <a:cs typeface="Aharoni" panose="02010803020104030203" pitchFamily="2" charset="-79"/>
          </a:endParaRPr>
        </a:p>
      </xdr:txBody>
    </xdr:sp>
    <xdr:clientData/>
  </xdr:twoCellAnchor>
  <xdr:twoCellAnchor editAs="oneCell">
    <xdr:from>
      <xdr:col>0</xdr:col>
      <xdr:colOff>1</xdr:colOff>
      <xdr:row>0</xdr:row>
      <xdr:rowOff>1</xdr:rowOff>
    </xdr:from>
    <xdr:to>
      <xdr:col>2</xdr:col>
      <xdr:colOff>28575</xdr:colOff>
      <xdr:row>2</xdr:row>
      <xdr:rowOff>419101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830434CB-15AD-4AF9-86A2-6E558DC654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" y="1"/>
          <a:ext cx="1952624" cy="9334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341311</xdr:colOff>
      <xdr:row>0</xdr:row>
      <xdr:rowOff>38365</xdr:rowOff>
    </xdr:from>
    <xdr:to>
      <xdr:col>16</xdr:col>
      <xdr:colOff>927628</xdr:colOff>
      <xdr:row>10</xdr:row>
      <xdr:rowOff>47890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2D4C295-4241-457C-8907-C7F6770B3C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82" t="3109" r="23689" b="67358"/>
        <a:stretch>
          <a:fillRect/>
        </a:stretch>
      </xdr:blipFill>
      <xdr:spPr>
        <a:xfrm>
          <a:off x="13028611" y="38365"/>
          <a:ext cx="5853642" cy="1704975"/>
        </a:xfrm>
        <a:prstGeom prst="rect">
          <a:avLst/>
        </a:prstGeom>
      </xdr:spPr>
    </xdr:pic>
    <xdr:clientData/>
  </xdr:twoCellAnchor>
  <xdr:twoCellAnchor>
    <xdr:from>
      <xdr:col>3</xdr:col>
      <xdr:colOff>5952</xdr:colOff>
      <xdr:row>4</xdr:row>
      <xdr:rowOff>83343</xdr:rowOff>
    </xdr:from>
    <xdr:to>
      <xdr:col>8</xdr:col>
      <xdr:colOff>23812</xdr:colOff>
      <xdr:row>20</xdr:row>
      <xdr:rowOff>154780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13DA6D0-48B8-432E-83A8-DB2D60DE55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5</xdr:row>
      <xdr:rowOff>0</xdr:rowOff>
    </xdr:from>
    <xdr:to>
      <xdr:col>0</xdr:col>
      <xdr:colOff>1735667</xdr:colOff>
      <xdr:row>5</xdr:row>
      <xdr:rowOff>294803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815FE0F-19CC-4A13-A0FD-27A7FBC4E826}"/>
            </a:ext>
          </a:extLst>
        </xdr:cNvPr>
        <xdr:cNvSpPr/>
      </xdr:nvSpPr>
      <xdr:spPr>
        <a:xfrm>
          <a:off x="0" y="1200150"/>
          <a:ext cx="1735667" cy="294803"/>
        </a:xfrm>
        <a:prstGeom prst="roundRect">
          <a:avLst>
            <a:gd name="adj" fmla="val 50000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300" b="1" baseline="0">
              <a:solidFill>
                <a:schemeClr val="bg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Avenir LT Std 45 Book" panose="020B0502020203020204" pitchFamily="34" charset="0"/>
              <a:cs typeface="Aharoni" panose="02010803020104030203" pitchFamily="2" charset="-79"/>
            </a:rPr>
            <a:t>GLOBAL</a:t>
          </a:r>
          <a:endParaRPr lang="pt-BR" sz="1300" b="1">
            <a:solidFill>
              <a:schemeClr val="bg1"/>
            </a:solidFill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  <a:latin typeface="Avenir LT Std 45 Book" panose="020B0502020203020204" pitchFamily="34" charset="0"/>
            <a:cs typeface="Aharoni" panose="02010803020104030203" pitchFamily="2" charset="-79"/>
          </a:endParaRPr>
        </a:p>
      </xdr:txBody>
    </xdr:sp>
    <xdr:clientData/>
  </xdr:twoCellAnchor>
  <xdr:twoCellAnchor>
    <xdr:from>
      <xdr:col>0</xdr:col>
      <xdr:colOff>0</xdr:colOff>
      <xdr:row>5</xdr:row>
      <xdr:rowOff>369094</xdr:rowOff>
    </xdr:from>
    <xdr:to>
      <xdr:col>0</xdr:col>
      <xdr:colOff>1735667</xdr:colOff>
      <xdr:row>7</xdr:row>
      <xdr:rowOff>9053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520909C-704D-4369-8EA6-447521547787}"/>
            </a:ext>
          </a:extLst>
        </xdr:cNvPr>
        <xdr:cNvSpPr/>
      </xdr:nvSpPr>
      <xdr:spPr>
        <a:xfrm>
          <a:off x="0" y="1569244"/>
          <a:ext cx="1735667" cy="278134"/>
        </a:xfrm>
        <a:prstGeom prst="roundRect">
          <a:avLst>
            <a:gd name="adj" fmla="val 50000"/>
          </a:avLst>
        </a:prstGeom>
        <a:solidFill>
          <a:schemeClr val="bg1">
            <a:lumMod val="6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300" b="1" baseline="0">
              <a:solidFill>
                <a:schemeClr val="bg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Avenir LT Std 45 Book" panose="020B0502020203020204" pitchFamily="34" charset="0"/>
              <a:cs typeface="Aharoni" panose="02010803020104030203" pitchFamily="2" charset="-79"/>
            </a:rPr>
            <a:t>SUBSTITUIÇÃO</a:t>
          </a:r>
          <a:endParaRPr lang="pt-BR" sz="1300" b="1">
            <a:solidFill>
              <a:schemeClr val="bg1"/>
            </a:solidFill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  <a:latin typeface="Avenir LT Std 45 Book" panose="020B0502020203020204" pitchFamily="34" charset="0"/>
            <a:cs typeface="Aharoni" panose="02010803020104030203" pitchFamily="2" charset="-79"/>
          </a:endParaRPr>
        </a:p>
      </xdr:txBody>
    </xdr:sp>
    <xdr:clientData/>
  </xdr:twoCellAnchor>
  <xdr:twoCellAnchor editAs="oneCell">
    <xdr:from>
      <xdr:col>0</xdr:col>
      <xdr:colOff>1</xdr:colOff>
      <xdr:row>0</xdr:row>
      <xdr:rowOff>1</xdr:rowOff>
    </xdr:from>
    <xdr:to>
      <xdr:col>2</xdr:col>
      <xdr:colOff>19050</xdr:colOff>
      <xdr:row>3</xdr:row>
      <xdr:rowOff>47625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4B155AD0-AC36-4D0B-869C-B7559D2CCB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" y="1"/>
          <a:ext cx="1943099" cy="99059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341311</xdr:colOff>
      <xdr:row>0</xdr:row>
      <xdr:rowOff>38365</xdr:rowOff>
    </xdr:from>
    <xdr:to>
      <xdr:col>16</xdr:col>
      <xdr:colOff>927628</xdr:colOff>
      <xdr:row>10</xdr:row>
      <xdr:rowOff>47890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35BF2C6-4CF3-4C13-8D49-014C3A4040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82" t="3109" r="23689" b="67358"/>
        <a:stretch>
          <a:fillRect/>
        </a:stretch>
      </xdr:blipFill>
      <xdr:spPr>
        <a:xfrm>
          <a:off x="13028611" y="38365"/>
          <a:ext cx="5853642" cy="1704975"/>
        </a:xfrm>
        <a:prstGeom prst="rect">
          <a:avLst/>
        </a:prstGeom>
      </xdr:spPr>
    </xdr:pic>
    <xdr:clientData/>
  </xdr:twoCellAnchor>
  <xdr:twoCellAnchor>
    <xdr:from>
      <xdr:col>3</xdr:col>
      <xdr:colOff>5952</xdr:colOff>
      <xdr:row>4</xdr:row>
      <xdr:rowOff>83343</xdr:rowOff>
    </xdr:from>
    <xdr:to>
      <xdr:col>8</xdr:col>
      <xdr:colOff>23812</xdr:colOff>
      <xdr:row>20</xdr:row>
      <xdr:rowOff>154780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5162FC6-674A-42BD-BF6D-F515FBA60E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5</xdr:row>
      <xdr:rowOff>0</xdr:rowOff>
    </xdr:from>
    <xdr:to>
      <xdr:col>0</xdr:col>
      <xdr:colOff>1735667</xdr:colOff>
      <xdr:row>5</xdr:row>
      <xdr:rowOff>294803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AA16D58-E81E-4253-A681-EA6A665C1D6A}"/>
            </a:ext>
          </a:extLst>
        </xdr:cNvPr>
        <xdr:cNvSpPr/>
      </xdr:nvSpPr>
      <xdr:spPr>
        <a:xfrm>
          <a:off x="0" y="1200150"/>
          <a:ext cx="1735667" cy="294803"/>
        </a:xfrm>
        <a:prstGeom prst="roundRect">
          <a:avLst>
            <a:gd name="adj" fmla="val 50000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300" b="1" baseline="0">
              <a:solidFill>
                <a:schemeClr val="bg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Avenir LT Std 45 Book" panose="020B0502020203020204" pitchFamily="34" charset="0"/>
              <a:cs typeface="Aharoni" panose="02010803020104030203" pitchFamily="2" charset="-79"/>
            </a:rPr>
            <a:t>GLOBAL</a:t>
          </a:r>
          <a:endParaRPr lang="pt-BR" sz="1300" b="1">
            <a:solidFill>
              <a:schemeClr val="bg1"/>
            </a:solidFill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  <a:latin typeface="Avenir LT Std 45 Book" panose="020B0502020203020204" pitchFamily="34" charset="0"/>
            <a:cs typeface="Aharoni" panose="02010803020104030203" pitchFamily="2" charset="-79"/>
          </a:endParaRPr>
        </a:p>
      </xdr:txBody>
    </xdr:sp>
    <xdr:clientData/>
  </xdr:twoCellAnchor>
  <xdr:twoCellAnchor>
    <xdr:from>
      <xdr:col>0</xdr:col>
      <xdr:colOff>0</xdr:colOff>
      <xdr:row>5</xdr:row>
      <xdr:rowOff>369094</xdr:rowOff>
    </xdr:from>
    <xdr:to>
      <xdr:col>0</xdr:col>
      <xdr:colOff>1735667</xdr:colOff>
      <xdr:row>7</xdr:row>
      <xdr:rowOff>9053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2B67BF2-DEA2-4538-9126-1FD329626572}"/>
            </a:ext>
          </a:extLst>
        </xdr:cNvPr>
        <xdr:cNvSpPr/>
      </xdr:nvSpPr>
      <xdr:spPr>
        <a:xfrm>
          <a:off x="0" y="1569244"/>
          <a:ext cx="1735667" cy="278134"/>
        </a:xfrm>
        <a:prstGeom prst="roundRect">
          <a:avLst>
            <a:gd name="adj" fmla="val 50000"/>
          </a:avLst>
        </a:prstGeom>
        <a:solidFill>
          <a:schemeClr val="bg1">
            <a:lumMod val="6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300" b="1" baseline="0">
              <a:solidFill>
                <a:schemeClr val="bg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Avenir LT Std 45 Book" panose="020B0502020203020204" pitchFamily="34" charset="0"/>
              <a:cs typeface="Aharoni" panose="02010803020104030203" pitchFamily="2" charset="-79"/>
            </a:rPr>
            <a:t>SUBSTITUIÇÃO</a:t>
          </a:r>
          <a:endParaRPr lang="pt-BR" sz="1300" b="1">
            <a:solidFill>
              <a:schemeClr val="bg1"/>
            </a:solidFill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  <a:latin typeface="Avenir LT Std 45 Book" panose="020B0502020203020204" pitchFamily="34" charset="0"/>
            <a:cs typeface="Aharoni" panose="02010803020104030203" pitchFamily="2" charset="-79"/>
          </a:endParaRPr>
        </a:p>
      </xdr:txBody>
    </xdr:sp>
    <xdr:clientData/>
  </xdr:twoCellAnchor>
  <xdr:twoCellAnchor editAs="oneCell">
    <xdr:from>
      <xdr:col>0</xdr:col>
      <xdr:colOff>2</xdr:colOff>
      <xdr:row>0</xdr:row>
      <xdr:rowOff>1</xdr:rowOff>
    </xdr:from>
    <xdr:to>
      <xdr:col>2</xdr:col>
      <xdr:colOff>9526</xdr:colOff>
      <xdr:row>3</xdr:row>
      <xdr:rowOff>9525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343AEB71-CB96-46CF-AA0F-6105AF4F43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" y="1"/>
          <a:ext cx="1933574" cy="95249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341311</xdr:colOff>
      <xdr:row>0</xdr:row>
      <xdr:rowOff>38365</xdr:rowOff>
    </xdr:from>
    <xdr:to>
      <xdr:col>16</xdr:col>
      <xdr:colOff>927628</xdr:colOff>
      <xdr:row>10</xdr:row>
      <xdr:rowOff>47890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9E54B0E-C025-4426-8C44-1AC0819A7A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82" t="3109" r="23689" b="67358"/>
        <a:stretch>
          <a:fillRect/>
        </a:stretch>
      </xdr:blipFill>
      <xdr:spPr>
        <a:xfrm>
          <a:off x="13028611" y="38365"/>
          <a:ext cx="5853642" cy="1704975"/>
        </a:xfrm>
        <a:prstGeom prst="rect">
          <a:avLst/>
        </a:prstGeom>
      </xdr:spPr>
    </xdr:pic>
    <xdr:clientData/>
  </xdr:twoCellAnchor>
  <xdr:twoCellAnchor>
    <xdr:from>
      <xdr:col>3</xdr:col>
      <xdr:colOff>5952</xdr:colOff>
      <xdr:row>4</xdr:row>
      <xdr:rowOff>83343</xdr:rowOff>
    </xdr:from>
    <xdr:to>
      <xdr:col>8</xdr:col>
      <xdr:colOff>23812</xdr:colOff>
      <xdr:row>20</xdr:row>
      <xdr:rowOff>154780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0600E5D-36F1-4BD1-8BFA-214DEBEB24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5</xdr:row>
      <xdr:rowOff>0</xdr:rowOff>
    </xdr:from>
    <xdr:to>
      <xdr:col>0</xdr:col>
      <xdr:colOff>1735667</xdr:colOff>
      <xdr:row>5</xdr:row>
      <xdr:rowOff>294803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9BE1EF47-16BB-4CA0-8DB6-FF4C6F9C199E}"/>
            </a:ext>
          </a:extLst>
        </xdr:cNvPr>
        <xdr:cNvSpPr/>
      </xdr:nvSpPr>
      <xdr:spPr>
        <a:xfrm>
          <a:off x="0" y="1200150"/>
          <a:ext cx="1735667" cy="294803"/>
        </a:xfrm>
        <a:prstGeom prst="roundRect">
          <a:avLst>
            <a:gd name="adj" fmla="val 50000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300" b="1" baseline="0">
              <a:solidFill>
                <a:schemeClr val="bg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Avenir LT Std 45 Book" panose="020B0502020203020204" pitchFamily="34" charset="0"/>
              <a:cs typeface="Aharoni" panose="02010803020104030203" pitchFamily="2" charset="-79"/>
            </a:rPr>
            <a:t>GLOBAL</a:t>
          </a:r>
          <a:endParaRPr lang="pt-BR" sz="1300" b="1">
            <a:solidFill>
              <a:schemeClr val="bg1"/>
            </a:solidFill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  <a:latin typeface="Avenir LT Std 45 Book" panose="020B0502020203020204" pitchFamily="34" charset="0"/>
            <a:cs typeface="Aharoni" panose="02010803020104030203" pitchFamily="2" charset="-79"/>
          </a:endParaRPr>
        </a:p>
      </xdr:txBody>
    </xdr:sp>
    <xdr:clientData/>
  </xdr:twoCellAnchor>
  <xdr:twoCellAnchor>
    <xdr:from>
      <xdr:col>0</xdr:col>
      <xdr:colOff>0</xdr:colOff>
      <xdr:row>5</xdr:row>
      <xdr:rowOff>369094</xdr:rowOff>
    </xdr:from>
    <xdr:to>
      <xdr:col>0</xdr:col>
      <xdr:colOff>1735667</xdr:colOff>
      <xdr:row>7</xdr:row>
      <xdr:rowOff>9053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8428405-654E-466C-9790-F02EE4D12E77}"/>
            </a:ext>
          </a:extLst>
        </xdr:cNvPr>
        <xdr:cNvSpPr/>
      </xdr:nvSpPr>
      <xdr:spPr>
        <a:xfrm>
          <a:off x="0" y="1569244"/>
          <a:ext cx="1735667" cy="278134"/>
        </a:xfrm>
        <a:prstGeom prst="roundRect">
          <a:avLst>
            <a:gd name="adj" fmla="val 50000"/>
          </a:avLst>
        </a:prstGeom>
        <a:solidFill>
          <a:schemeClr val="bg1">
            <a:lumMod val="6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300" b="1" baseline="0">
              <a:solidFill>
                <a:schemeClr val="bg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Avenir LT Std 45 Book" panose="020B0502020203020204" pitchFamily="34" charset="0"/>
              <a:cs typeface="Aharoni" panose="02010803020104030203" pitchFamily="2" charset="-79"/>
            </a:rPr>
            <a:t>SUBSTITUIÇÃO</a:t>
          </a:r>
          <a:endParaRPr lang="pt-BR" sz="1300" b="1">
            <a:solidFill>
              <a:schemeClr val="bg1"/>
            </a:solidFill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  <a:latin typeface="Avenir LT Std 45 Book" panose="020B0502020203020204" pitchFamily="34" charset="0"/>
            <a:cs typeface="Aharoni" panose="02010803020104030203" pitchFamily="2" charset="-79"/>
          </a:endParaRPr>
        </a:p>
      </xdr:txBody>
    </xdr:sp>
    <xdr:clientData/>
  </xdr:twoCellAnchor>
  <xdr:twoCellAnchor editAs="oneCell">
    <xdr:from>
      <xdr:col>0</xdr:col>
      <xdr:colOff>2</xdr:colOff>
      <xdr:row>0</xdr:row>
      <xdr:rowOff>2</xdr:rowOff>
    </xdr:from>
    <xdr:to>
      <xdr:col>1</xdr:col>
      <xdr:colOff>123826</xdr:colOff>
      <xdr:row>2</xdr:row>
      <xdr:rowOff>409576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5687EF33-469F-4DC4-BBF8-1B2001AE33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" y="2"/>
          <a:ext cx="1895474" cy="92392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341311</xdr:colOff>
      <xdr:row>0</xdr:row>
      <xdr:rowOff>38365</xdr:rowOff>
    </xdr:from>
    <xdr:to>
      <xdr:col>16</xdr:col>
      <xdr:colOff>927628</xdr:colOff>
      <xdr:row>10</xdr:row>
      <xdr:rowOff>47890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7D8DEF0-2C3A-4514-B8A8-4ACD4A2B9C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782" t="3109" r="23689" b="67358"/>
        <a:stretch>
          <a:fillRect/>
        </a:stretch>
      </xdr:blipFill>
      <xdr:spPr>
        <a:xfrm>
          <a:off x="13028611" y="38365"/>
          <a:ext cx="5853642" cy="1704975"/>
        </a:xfrm>
        <a:prstGeom prst="rect">
          <a:avLst/>
        </a:prstGeom>
      </xdr:spPr>
    </xdr:pic>
    <xdr:clientData/>
  </xdr:twoCellAnchor>
  <xdr:twoCellAnchor>
    <xdr:from>
      <xdr:col>3</xdr:col>
      <xdr:colOff>5952</xdr:colOff>
      <xdr:row>4</xdr:row>
      <xdr:rowOff>83343</xdr:rowOff>
    </xdr:from>
    <xdr:to>
      <xdr:col>8</xdr:col>
      <xdr:colOff>23812</xdr:colOff>
      <xdr:row>20</xdr:row>
      <xdr:rowOff>154780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FA38869-1ED9-4B9D-A33E-99D2F9E72C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5</xdr:row>
      <xdr:rowOff>0</xdr:rowOff>
    </xdr:from>
    <xdr:to>
      <xdr:col>0</xdr:col>
      <xdr:colOff>1735667</xdr:colOff>
      <xdr:row>5</xdr:row>
      <xdr:rowOff>294803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718C69D8-71D0-4E79-8FB0-CF0F2AA5916D}"/>
            </a:ext>
          </a:extLst>
        </xdr:cNvPr>
        <xdr:cNvSpPr/>
      </xdr:nvSpPr>
      <xdr:spPr>
        <a:xfrm>
          <a:off x="0" y="1200150"/>
          <a:ext cx="1735667" cy="294803"/>
        </a:xfrm>
        <a:prstGeom prst="roundRect">
          <a:avLst>
            <a:gd name="adj" fmla="val 50000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300" b="1" baseline="0">
              <a:solidFill>
                <a:schemeClr val="bg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Avenir LT Std 45 Book" panose="020B0502020203020204" pitchFamily="34" charset="0"/>
              <a:cs typeface="Aharoni" panose="02010803020104030203" pitchFamily="2" charset="-79"/>
            </a:rPr>
            <a:t>GLOBAL</a:t>
          </a:r>
          <a:endParaRPr lang="pt-BR" sz="1300" b="1">
            <a:solidFill>
              <a:schemeClr val="bg1"/>
            </a:solidFill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  <a:latin typeface="Avenir LT Std 45 Book" panose="020B0502020203020204" pitchFamily="34" charset="0"/>
            <a:cs typeface="Aharoni" panose="02010803020104030203" pitchFamily="2" charset="-79"/>
          </a:endParaRPr>
        </a:p>
      </xdr:txBody>
    </xdr:sp>
    <xdr:clientData/>
  </xdr:twoCellAnchor>
  <xdr:twoCellAnchor>
    <xdr:from>
      <xdr:col>0</xdr:col>
      <xdr:colOff>0</xdr:colOff>
      <xdr:row>5</xdr:row>
      <xdr:rowOff>369094</xdr:rowOff>
    </xdr:from>
    <xdr:to>
      <xdr:col>0</xdr:col>
      <xdr:colOff>1735667</xdr:colOff>
      <xdr:row>7</xdr:row>
      <xdr:rowOff>9053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727A64A-3C9E-4815-98FE-5A1B1253700B}"/>
            </a:ext>
          </a:extLst>
        </xdr:cNvPr>
        <xdr:cNvSpPr/>
      </xdr:nvSpPr>
      <xdr:spPr>
        <a:xfrm>
          <a:off x="0" y="1569244"/>
          <a:ext cx="1735667" cy="278134"/>
        </a:xfrm>
        <a:prstGeom prst="roundRect">
          <a:avLst>
            <a:gd name="adj" fmla="val 50000"/>
          </a:avLst>
        </a:prstGeom>
        <a:solidFill>
          <a:schemeClr val="bg1">
            <a:lumMod val="6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300" b="1" baseline="0">
              <a:solidFill>
                <a:schemeClr val="bg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Avenir LT Std 45 Book" panose="020B0502020203020204" pitchFamily="34" charset="0"/>
              <a:cs typeface="Aharoni" panose="02010803020104030203" pitchFamily="2" charset="-79"/>
            </a:rPr>
            <a:t>SUBSTITUIÇÃO</a:t>
          </a:r>
          <a:endParaRPr lang="pt-BR" sz="1300" b="1">
            <a:solidFill>
              <a:schemeClr val="bg1"/>
            </a:solidFill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  <a:latin typeface="Avenir LT Std 45 Book" panose="020B0502020203020204" pitchFamily="34" charset="0"/>
            <a:cs typeface="Aharoni" panose="02010803020104030203" pitchFamily="2" charset="-79"/>
          </a:endParaRPr>
        </a:p>
      </xdr:txBody>
    </xdr:sp>
    <xdr:clientData/>
  </xdr:twoCellAnchor>
  <xdr:twoCellAnchor editAs="oneCell">
    <xdr:from>
      <xdr:col>0</xdr:col>
      <xdr:colOff>1</xdr:colOff>
      <xdr:row>0</xdr:row>
      <xdr:rowOff>1</xdr:rowOff>
    </xdr:from>
    <xdr:to>
      <xdr:col>2</xdr:col>
      <xdr:colOff>19050</xdr:colOff>
      <xdr:row>2</xdr:row>
      <xdr:rowOff>419100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85499E6E-954E-40C0-8481-CD17A26746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" y="1"/>
          <a:ext cx="1943099" cy="9334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showGridLines="0" workbookViewId="0"/>
  </sheetViews>
  <sheetFormatPr defaultColWidth="9.140625" defaultRowHeight="12"/>
  <cols>
    <col min="1" max="16384" width="9.140625" style="2"/>
  </cols>
  <sheetData>
    <row r="1" spans="1:3" ht="13.5">
      <c r="A1" s="2" t="s">
        <v>0</v>
      </c>
      <c r="C1" s="25" t="s">
        <v>1</v>
      </c>
    </row>
    <row r="2" spans="1:3" ht="13.5">
      <c r="A2" s="2" t="s">
        <v>2</v>
      </c>
      <c r="C2" s="26" t="s">
        <v>3</v>
      </c>
    </row>
    <row r="3" spans="1:3" ht="13.5">
      <c r="A3" s="2" t="s">
        <v>4</v>
      </c>
      <c r="C3" s="26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1">
    <outlinePr summaryBelow="0" summaryRight="0"/>
  </sheetPr>
  <dimension ref="A1:I132"/>
  <sheetViews>
    <sheetView showGridLines="0" tabSelected="1" zoomScale="80" zoomScaleNormal="80" workbookViewId="0">
      <pane ySplit="4" topLeftCell="A5" activePane="bottomLeft" state="frozen"/>
      <selection pane="bottomLeft" activeCell="I9" sqref="I9"/>
    </sheetView>
  </sheetViews>
  <sheetFormatPr defaultColWidth="14.42578125" defaultRowHeight="15.75" customHeight="1"/>
  <cols>
    <col min="1" max="1" width="26.5703125" style="1" customWidth="1"/>
    <col min="2" max="2" width="2.28515625" style="2" customWidth="1"/>
    <col min="3" max="3" width="16.42578125" style="2" customWidth="1"/>
    <col min="4" max="8" width="29" style="2" customWidth="1"/>
    <col min="9" max="9" width="18.85546875" style="2" customWidth="1"/>
    <col min="10" max="10" width="26.42578125" style="2" customWidth="1"/>
    <col min="11" max="16384" width="14.42578125" style="2"/>
  </cols>
  <sheetData>
    <row r="1" spans="1:9" s="1" customFormat="1" ht="33.75" customHeight="1">
      <c r="A1" s="29" t="s">
        <v>5</v>
      </c>
      <c r="B1" s="30"/>
      <c r="C1" s="35" t="s">
        <v>6</v>
      </c>
      <c r="D1" s="36"/>
      <c r="E1" s="36"/>
      <c r="F1" s="36"/>
      <c r="G1" s="36"/>
      <c r="H1" s="36"/>
      <c r="I1" s="36"/>
    </row>
    <row r="2" spans="1:9" s="1" customFormat="1" ht="6.75" customHeight="1">
      <c r="A2" s="31"/>
      <c r="B2" s="32"/>
      <c r="C2" s="35"/>
      <c r="D2" s="36"/>
      <c r="E2" s="36"/>
      <c r="F2" s="36"/>
      <c r="G2" s="36"/>
      <c r="H2" s="36"/>
      <c r="I2" s="36"/>
    </row>
    <row r="3" spans="1:9" s="1" customFormat="1" ht="33.75" customHeight="1">
      <c r="A3" s="33"/>
      <c r="B3" s="34"/>
      <c r="C3" s="35"/>
      <c r="D3" s="36"/>
      <c r="E3" s="36"/>
      <c r="F3" s="36"/>
      <c r="G3" s="36"/>
      <c r="H3" s="36"/>
      <c r="I3" s="36"/>
    </row>
    <row r="4" spans="1:9" s="1" customFormat="1" ht="9" customHeight="1"/>
    <row r="5" spans="1:9" ht="11.25" customHeight="1"/>
    <row r="6" spans="1:9" ht="38.25" customHeight="1"/>
    <row r="7" spans="1:9" ht="12"/>
    <row r="8" spans="1:9" ht="12"/>
    <row r="21" spans="4:8" ht="19.5" customHeight="1"/>
    <row r="22" spans="4:8" ht="12"/>
    <row r="23" spans="4:8" ht="15.75" customHeight="1">
      <c r="F23" s="27" t="s">
        <v>7</v>
      </c>
      <c r="G23" s="28"/>
    </row>
    <row r="24" spans="4:8" ht="15.75" customHeight="1">
      <c r="D24" s="3" t="s">
        <v>8</v>
      </c>
      <c r="E24" s="4" t="s">
        <v>9</v>
      </c>
      <c r="F24" s="4" t="s">
        <v>10</v>
      </c>
      <c r="G24" s="4" t="s">
        <v>11</v>
      </c>
      <c r="H24" s="15" t="s">
        <v>12</v>
      </c>
    </row>
    <row r="25" spans="4:8" ht="15.75" customHeight="1">
      <c r="D25" s="19" t="s">
        <v>13</v>
      </c>
      <c r="E25" s="20">
        <v>210</v>
      </c>
      <c r="F25" s="20"/>
      <c r="G25" s="21"/>
      <c r="H25" s="22"/>
    </row>
    <row r="26" spans="4:8" ht="15.75" customHeight="1">
      <c r="D26" s="5" t="s">
        <v>14</v>
      </c>
      <c r="E26" s="6">
        <v>217</v>
      </c>
      <c r="F26" s="6">
        <v>7</v>
      </c>
      <c r="G26" s="7">
        <v>21</v>
      </c>
      <c r="H26" s="16">
        <f>((F26+G26)/2)/217</f>
        <v>6.4516129032258063E-2</v>
      </c>
    </row>
    <row r="27" spans="4:8" ht="15.75" customHeight="1">
      <c r="D27" s="8" t="s">
        <v>15</v>
      </c>
      <c r="E27" s="9">
        <v>210</v>
      </c>
      <c r="F27" s="9">
        <v>7</v>
      </c>
      <c r="G27" s="10">
        <v>10</v>
      </c>
      <c r="H27" s="16">
        <f>((F27+G27)/2)/E26</f>
        <v>3.9170506912442393E-2</v>
      </c>
    </row>
    <row r="28" spans="4:8" ht="15.75" customHeight="1">
      <c r="D28" s="11" t="s">
        <v>16</v>
      </c>
      <c r="E28" s="9">
        <v>214</v>
      </c>
      <c r="F28" s="9">
        <v>14</v>
      </c>
      <c r="G28" s="10">
        <v>15</v>
      </c>
      <c r="H28" s="16">
        <f t="shared" ref="H28:H37" si="0">((F28+G28)/2)/E27</f>
        <v>6.9047619047619052E-2</v>
      </c>
    </row>
    <row r="29" spans="4:8" ht="15.75" customHeight="1">
      <c r="D29" s="12" t="s">
        <v>17</v>
      </c>
      <c r="E29" s="9">
        <v>207</v>
      </c>
      <c r="F29" s="9">
        <v>19</v>
      </c>
      <c r="G29" s="10">
        <v>12</v>
      </c>
      <c r="H29" s="16">
        <f t="shared" si="0"/>
        <v>7.2429906542056069E-2</v>
      </c>
    </row>
    <row r="30" spans="4:8" ht="15.75" customHeight="1">
      <c r="D30" s="8" t="s">
        <v>18</v>
      </c>
      <c r="E30" s="9">
        <v>204</v>
      </c>
      <c r="F30" s="9">
        <v>12</v>
      </c>
      <c r="G30" s="10">
        <v>7</v>
      </c>
      <c r="H30" s="16">
        <f t="shared" si="0"/>
        <v>4.5893719806763288E-2</v>
      </c>
    </row>
    <row r="31" spans="4:8" ht="15.75" customHeight="1">
      <c r="D31" s="11" t="s">
        <v>19</v>
      </c>
      <c r="E31" s="9">
        <v>207</v>
      </c>
      <c r="F31" s="9">
        <v>9</v>
      </c>
      <c r="G31" s="10">
        <v>7</v>
      </c>
      <c r="H31" s="16">
        <f t="shared" si="0"/>
        <v>3.9215686274509803E-2</v>
      </c>
    </row>
    <row r="32" spans="4:8" ht="15.75" customHeight="1">
      <c r="D32" s="12" t="s">
        <v>20</v>
      </c>
      <c r="E32" s="9"/>
      <c r="F32" s="9"/>
      <c r="G32" s="10"/>
      <c r="H32" s="16">
        <f t="shared" si="0"/>
        <v>0</v>
      </c>
    </row>
    <row r="33" spans="4:8" ht="15.75" customHeight="1">
      <c r="D33" s="8" t="s">
        <v>21</v>
      </c>
      <c r="E33" s="9"/>
      <c r="F33" s="9"/>
      <c r="G33" s="10"/>
      <c r="H33" s="16" t="e">
        <f t="shared" si="0"/>
        <v>#DIV/0!</v>
      </c>
    </row>
    <row r="34" spans="4:8" ht="15.75" customHeight="1">
      <c r="D34" s="11" t="s">
        <v>22</v>
      </c>
      <c r="E34" s="9"/>
      <c r="F34" s="9"/>
      <c r="G34" s="10"/>
      <c r="H34" s="16" t="e">
        <f t="shared" si="0"/>
        <v>#DIV/0!</v>
      </c>
    </row>
    <row r="35" spans="4:8" ht="15.75" customHeight="1">
      <c r="D35" s="12" t="s">
        <v>23</v>
      </c>
      <c r="E35" s="9"/>
      <c r="F35" s="9"/>
      <c r="G35" s="10"/>
      <c r="H35" s="16" t="e">
        <f t="shared" si="0"/>
        <v>#DIV/0!</v>
      </c>
    </row>
    <row r="36" spans="4:8" ht="15.75" customHeight="1">
      <c r="D36" s="8" t="s">
        <v>24</v>
      </c>
      <c r="E36" s="9"/>
      <c r="F36" s="9"/>
      <c r="G36" s="10"/>
      <c r="H36" s="16" t="e">
        <f t="shared" si="0"/>
        <v>#DIV/0!</v>
      </c>
    </row>
    <row r="37" spans="4:8" ht="15.75" customHeight="1">
      <c r="D37" s="13" t="s">
        <v>13</v>
      </c>
      <c r="E37" s="14"/>
      <c r="F37" s="14"/>
      <c r="G37" s="23"/>
      <c r="H37" s="24" t="e">
        <f t="shared" si="0"/>
        <v>#DIV/0!</v>
      </c>
    </row>
    <row r="38" spans="4:8" ht="19.5" customHeight="1">
      <c r="G38" s="17" t="s">
        <v>25</v>
      </c>
      <c r="H38" s="18" t="e">
        <f>SUM(H26:H37)</f>
        <v>#DIV/0!</v>
      </c>
    </row>
    <row r="41" spans="4:8" ht="15.75" customHeight="1" thickBot="1"/>
    <row r="42" spans="4:8" ht="15.75" customHeight="1" thickBot="1">
      <c r="F42" s="27" t="s">
        <v>26</v>
      </c>
      <c r="G42" s="28"/>
    </row>
    <row r="43" spans="4:8" ht="15.75" customHeight="1" thickBot="1">
      <c r="D43" s="3" t="s">
        <v>8</v>
      </c>
      <c r="E43" s="4" t="s">
        <v>9</v>
      </c>
      <c r="F43" s="4" t="s">
        <v>10</v>
      </c>
      <c r="G43" s="4" t="s">
        <v>11</v>
      </c>
      <c r="H43" s="15" t="s">
        <v>12</v>
      </c>
    </row>
    <row r="44" spans="4:8" ht="15.75" customHeight="1">
      <c r="D44" s="19" t="s">
        <v>13</v>
      </c>
      <c r="E44" s="20">
        <f>'LUBE ES'!E25</f>
        <v>0</v>
      </c>
      <c r="F44" s="20">
        <f>'LUBE ES'!F25</f>
        <v>0</v>
      </c>
      <c r="G44" s="21">
        <f>'LUBE ES'!G25</f>
        <v>0</v>
      </c>
      <c r="H44" s="22">
        <f>'LUBE ES'!H25</f>
        <v>0</v>
      </c>
    </row>
    <row r="45" spans="4:8" ht="15.75" customHeight="1">
      <c r="D45" s="5" t="s">
        <v>14</v>
      </c>
      <c r="E45" s="6">
        <f>'LUBE ES'!E26</f>
        <v>109</v>
      </c>
      <c r="F45" s="6">
        <f>'LUBE ES'!F26</f>
        <v>3</v>
      </c>
      <c r="G45" s="7">
        <f>'LUBE ES'!G26</f>
        <v>3</v>
      </c>
      <c r="H45" s="16">
        <f>'LUBE ES'!H26</f>
        <v>2.7522935779816515E-2</v>
      </c>
    </row>
    <row r="46" spans="4:8" ht="15.75" customHeight="1">
      <c r="D46" s="8" t="s">
        <v>15</v>
      </c>
      <c r="E46" s="9">
        <f>'LUBE ES'!E27</f>
        <v>110</v>
      </c>
      <c r="F46" s="9">
        <f>'LUBE ES'!F27</f>
        <v>2</v>
      </c>
      <c r="G46" s="10">
        <f>'LUBE ES'!G27</f>
        <v>3</v>
      </c>
      <c r="H46" s="16">
        <f>'LUBE ES'!H27</f>
        <v>2.2727272727272728E-2</v>
      </c>
    </row>
    <row r="47" spans="4:8" ht="15.75" customHeight="1">
      <c r="D47" s="11" t="s">
        <v>16</v>
      </c>
      <c r="E47" s="9">
        <f>'LUBE ES'!E28</f>
        <v>104</v>
      </c>
      <c r="F47" s="9">
        <f>'LUBE ES'!F28</f>
        <v>1</v>
      </c>
      <c r="G47" s="10">
        <f>'LUBE ES'!G28</f>
        <v>9</v>
      </c>
      <c r="H47" s="16">
        <f>'LUBE ES'!H28</f>
        <v>4.807692307692308E-2</v>
      </c>
    </row>
    <row r="48" spans="4:8" ht="15.75" customHeight="1">
      <c r="D48" s="12" t="s">
        <v>17</v>
      </c>
      <c r="E48" s="9">
        <f>'LUBE ES'!E29</f>
        <v>112</v>
      </c>
      <c r="F48" s="9">
        <f>'LUBE ES'!F29</f>
        <v>7</v>
      </c>
      <c r="G48" s="10">
        <f>'LUBE ES'!G29</f>
        <v>6</v>
      </c>
      <c r="H48" s="16">
        <f>'LUBE ES'!H29</f>
        <v>5.8035714285714288E-2</v>
      </c>
    </row>
    <row r="49" spans="4:8" ht="15.75" customHeight="1">
      <c r="D49" s="8" t="s">
        <v>18</v>
      </c>
      <c r="E49" s="9">
        <f>'LUBE ES'!E30</f>
        <v>115</v>
      </c>
      <c r="F49" s="9">
        <f>'LUBE ES'!F30</f>
        <v>5</v>
      </c>
      <c r="G49" s="10">
        <f>'LUBE ES'!G30</f>
        <v>3</v>
      </c>
      <c r="H49" s="16">
        <f>'LUBE ES'!H30</f>
        <v>3.4782608695652174E-2</v>
      </c>
    </row>
    <row r="50" spans="4:8" ht="15.75" customHeight="1">
      <c r="D50" s="11" t="s">
        <v>19</v>
      </c>
      <c r="E50" s="9">
        <f>'LUBE ES'!E31</f>
        <v>114</v>
      </c>
      <c r="F50" s="9">
        <f>'LUBE ES'!F31</f>
        <v>4</v>
      </c>
      <c r="G50" s="10">
        <f>'LUBE ES'!G31</f>
        <v>4</v>
      </c>
      <c r="H50" s="16">
        <f>'LUBE ES'!H31</f>
        <v>3.5087719298245612E-2</v>
      </c>
    </row>
    <row r="51" spans="4:8" ht="15.75" customHeight="1">
      <c r="D51" s="12" t="s">
        <v>20</v>
      </c>
      <c r="E51" s="9">
        <f>'LUBE ES'!E32</f>
        <v>109</v>
      </c>
      <c r="F51" s="9">
        <f>'LUBE ES'!F32</f>
        <v>3</v>
      </c>
      <c r="G51" s="10">
        <f>'LUBE ES'!G32</f>
        <v>7</v>
      </c>
      <c r="H51" s="16">
        <f>'LUBE ES'!H32</f>
        <v>4.5871559633027525E-2</v>
      </c>
    </row>
    <row r="52" spans="4:8" ht="15.75" customHeight="1">
      <c r="D52" s="8" t="s">
        <v>21</v>
      </c>
      <c r="E52" s="9">
        <f>'LUBE ES'!E33</f>
        <v>113</v>
      </c>
      <c r="F52" s="9">
        <f>'LUBE ES'!F33</f>
        <v>7</v>
      </c>
      <c r="G52" s="10">
        <f>'LUBE ES'!G33</f>
        <v>8</v>
      </c>
      <c r="H52" s="16">
        <f>'LUBE ES'!H33</f>
        <v>6.637168141592921E-2</v>
      </c>
    </row>
    <row r="53" spans="4:8" ht="15.75" customHeight="1">
      <c r="D53" s="11" t="s">
        <v>22</v>
      </c>
      <c r="E53" s="9">
        <f>'LUBE ES'!E34</f>
        <v>0</v>
      </c>
      <c r="F53" s="9">
        <f>'LUBE ES'!F34</f>
        <v>0</v>
      </c>
      <c r="G53" s="10">
        <f>'LUBE ES'!G34</f>
        <v>0</v>
      </c>
      <c r="H53" s="16" t="e">
        <f>'LUBE ES'!H34</f>
        <v>#DIV/0!</v>
      </c>
    </row>
    <row r="54" spans="4:8" ht="15.75" customHeight="1">
      <c r="D54" s="12" t="s">
        <v>23</v>
      </c>
      <c r="E54" s="9">
        <f>'LUBE ES'!E35</f>
        <v>0</v>
      </c>
      <c r="F54" s="9">
        <f>'LUBE ES'!F35</f>
        <v>0</v>
      </c>
      <c r="G54" s="10">
        <f>'LUBE ES'!G35</f>
        <v>0</v>
      </c>
      <c r="H54" s="16" t="e">
        <f>'LUBE ES'!H35</f>
        <v>#DIV/0!</v>
      </c>
    </row>
    <row r="55" spans="4:8" ht="15.75" customHeight="1">
      <c r="D55" s="8" t="s">
        <v>24</v>
      </c>
      <c r="E55" s="9">
        <f>'LUBE ES'!E36</f>
        <v>0</v>
      </c>
      <c r="F55" s="9">
        <f>'LUBE ES'!F36</f>
        <v>0</v>
      </c>
      <c r="G55" s="10">
        <f>'LUBE ES'!G36</f>
        <v>0</v>
      </c>
      <c r="H55" s="16" t="e">
        <f>'LUBE ES'!H36</f>
        <v>#DIV/0!</v>
      </c>
    </row>
    <row r="56" spans="4:8" ht="15.75" customHeight="1" thickBot="1">
      <c r="D56" s="13" t="s">
        <v>13</v>
      </c>
      <c r="E56" s="14">
        <f>'LUBE ES'!E37</f>
        <v>0</v>
      </c>
      <c r="F56" s="14">
        <f>'LUBE ES'!F37</f>
        <v>0</v>
      </c>
      <c r="G56" s="23">
        <f>'LUBE ES'!G37</f>
        <v>0</v>
      </c>
      <c r="H56" s="24" t="e">
        <f>'LUBE ES'!H37</f>
        <v>#DIV/0!</v>
      </c>
    </row>
    <row r="57" spans="4:8" ht="15.75" customHeight="1">
      <c r="G57" s="17" t="s">
        <v>25</v>
      </c>
      <c r="H57" s="18" t="e">
        <f>SUM(H45:H56)</f>
        <v>#DIV/0!</v>
      </c>
    </row>
    <row r="60" spans="4:8" ht="15.75" customHeight="1" thickBot="1"/>
    <row r="61" spans="4:8" ht="15.75" customHeight="1" thickBot="1">
      <c r="F61" s="27" t="s">
        <v>30</v>
      </c>
      <c r="G61" s="28"/>
    </row>
    <row r="62" spans="4:8" ht="15.75" customHeight="1" thickBot="1">
      <c r="D62" s="3" t="s">
        <v>8</v>
      </c>
      <c r="E62" s="4" t="s">
        <v>9</v>
      </c>
      <c r="F62" s="4" t="s">
        <v>10</v>
      </c>
      <c r="G62" s="4" t="s">
        <v>11</v>
      </c>
      <c r="H62" s="15" t="s">
        <v>12</v>
      </c>
    </row>
    <row r="63" spans="4:8" ht="15.75" customHeight="1">
      <c r="D63" s="19" t="s">
        <v>14</v>
      </c>
      <c r="E63" s="20">
        <f>'LUBE RJ'!E25</f>
        <v>0</v>
      </c>
      <c r="F63" s="20">
        <f>'LUBE RJ'!F25</f>
        <v>0</v>
      </c>
      <c r="G63" s="21">
        <f>'LUBE RJ'!G25</f>
        <v>0</v>
      </c>
      <c r="H63" s="22">
        <f>'LUBE RJ'!H25</f>
        <v>0</v>
      </c>
    </row>
    <row r="64" spans="4:8" ht="15.75" customHeight="1">
      <c r="D64" s="5" t="s">
        <v>15</v>
      </c>
      <c r="E64" s="6">
        <f>'LUBE RJ'!E26</f>
        <v>0</v>
      </c>
      <c r="F64" s="6">
        <f>'LUBE RJ'!F26</f>
        <v>0</v>
      </c>
      <c r="G64" s="7">
        <f>'LUBE RJ'!G26</f>
        <v>0</v>
      </c>
      <c r="H64" s="16" t="e">
        <f>'LUBE RJ'!H26</f>
        <v>#DIV/0!</v>
      </c>
    </row>
    <row r="65" spans="4:8" ht="15.75" customHeight="1">
      <c r="D65" s="8" t="s">
        <v>16</v>
      </c>
      <c r="E65" s="9">
        <f>'LUBE RJ'!E27</f>
        <v>1</v>
      </c>
      <c r="F65" s="9">
        <f>'LUBE RJ'!F27</f>
        <v>1</v>
      </c>
      <c r="G65" s="10">
        <f>'LUBE RJ'!G27</f>
        <v>0</v>
      </c>
      <c r="H65" s="16">
        <f>'LUBE RJ'!H27</f>
        <v>0.5</v>
      </c>
    </row>
    <row r="66" spans="4:8" ht="15.75" customHeight="1">
      <c r="D66" s="11" t="s">
        <v>17</v>
      </c>
      <c r="E66" s="9">
        <f>'LUBE RJ'!E28</f>
        <v>10</v>
      </c>
      <c r="F66" s="9">
        <f>'LUBE RJ'!F28</f>
        <v>9</v>
      </c>
      <c r="G66" s="10">
        <f>'LUBE RJ'!G28</f>
        <v>0</v>
      </c>
      <c r="H66" s="16">
        <f>'LUBE RJ'!H28</f>
        <v>0.45</v>
      </c>
    </row>
    <row r="67" spans="4:8" ht="15.75" customHeight="1">
      <c r="D67" s="12" t="s">
        <v>18</v>
      </c>
      <c r="E67" s="9">
        <f>'LUBE RJ'!E29</f>
        <v>10</v>
      </c>
      <c r="F67" s="9">
        <f>'LUBE RJ'!F29</f>
        <v>0</v>
      </c>
      <c r="G67" s="10">
        <f>'LUBE RJ'!G29</f>
        <v>0</v>
      </c>
      <c r="H67" s="16">
        <f>'LUBE RJ'!H29</f>
        <v>0</v>
      </c>
    </row>
    <row r="68" spans="4:8" ht="15.75" customHeight="1">
      <c r="D68" s="8" t="s">
        <v>19</v>
      </c>
      <c r="E68" s="9">
        <f>'LUBE RJ'!E30</f>
        <v>10</v>
      </c>
      <c r="F68" s="9">
        <f>'LUBE RJ'!F30</f>
        <v>0</v>
      </c>
      <c r="G68" s="10">
        <f>'LUBE RJ'!G30</f>
        <v>0</v>
      </c>
      <c r="H68" s="16">
        <f>'LUBE RJ'!H30</f>
        <v>0</v>
      </c>
    </row>
    <row r="69" spans="4:8" ht="15.75" customHeight="1">
      <c r="D69" s="11" t="s">
        <v>20</v>
      </c>
      <c r="E69" s="9">
        <f>'LUBE RJ'!E31</f>
        <v>10</v>
      </c>
      <c r="F69" s="9">
        <f>'LUBE RJ'!F31</f>
        <v>0</v>
      </c>
      <c r="G69" s="10">
        <f>'LUBE RJ'!G31</f>
        <v>0</v>
      </c>
      <c r="H69" s="16">
        <f>'LUBE RJ'!H31</f>
        <v>0</v>
      </c>
    </row>
    <row r="70" spans="4:8" ht="15.75" customHeight="1">
      <c r="D70" s="12" t="s">
        <v>21</v>
      </c>
      <c r="E70" s="9">
        <f>'LUBE RJ'!E32</f>
        <v>11</v>
      </c>
      <c r="F70" s="9">
        <f>'LUBE RJ'!F32</f>
        <v>1</v>
      </c>
      <c r="G70" s="10">
        <f>'LUBE RJ'!G32</f>
        <v>0</v>
      </c>
      <c r="H70" s="16">
        <f>'LUBE RJ'!H32</f>
        <v>4.5454545454545456E-2</v>
      </c>
    </row>
    <row r="71" spans="4:8" ht="15.75" customHeight="1">
      <c r="D71" s="8" t="s">
        <v>22</v>
      </c>
      <c r="E71" s="9">
        <f>'LUBE RJ'!E33</f>
        <v>12</v>
      </c>
      <c r="F71" s="9">
        <f>'LUBE RJ'!F33</f>
        <v>1</v>
      </c>
      <c r="G71" s="10">
        <f>'LUBE RJ'!G33</f>
        <v>0</v>
      </c>
      <c r="H71" s="16">
        <f>'LUBE RJ'!H33</f>
        <v>4.1666666666666664E-2</v>
      </c>
    </row>
    <row r="72" spans="4:8" ht="15.75" customHeight="1">
      <c r="D72" s="11" t="s">
        <v>23</v>
      </c>
      <c r="E72" s="9">
        <f>'LUBE RJ'!E34</f>
        <v>0</v>
      </c>
      <c r="F72" s="9">
        <f>'LUBE RJ'!F34</f>
        <v>0</v>
      </c>
      <c r="G72" s="10">
        <f>'LUBE RJ'!G34</f>
        <v>0</v>
      </c>
      <c r="H72" s="16" t="e">
        <f>'LUBE RJ'!H34</f>
        <v>#DIV/0!</v>
      </c>
    </row>
    <row r="73" spans="4:8" ht="15.75" customHeight="1">
      <c r="D73" s="12" t="s">
        <v>24</v>
      </c>
      <c r="E73" s="9">
        <f>'LUBE RJ'!E35</f>
        <v>0</v>
      </c>
      <c r="F73" s="9">
        <f>'LUBE RJ'!F35</f>
        <v>0</v>
      </c>
      <c r="G73" s="10">
        <f>'LUBE RJ'!G35</f>
        <v>0</v>
      </c>
      <c r="H73" s="16" t="e">
        <f>'LUBE RJ'!H35</f>
        <v>#DIV/0!</v>
      </c>
    </row>
    <row r="74" spans="4:8" ht="15.75" customHeight="1">
      <c r="D74" s="8" t="s">
        <v>13</v>
      </c>
      <c r="E74" s="9">
        <f>'LUBE RJ'!E36</f>
        <v>0</v>
      </c>
      <c r="F74" s="9">
        <f>'LUBE RJ'!F36</f>
        <v>0</v>
      </c>
      <c r="G74" s="10">
        <f>'LUBE RJ'!G36</f>
        <v>0</v>
      </c>
      <c r="H74" s="16" t="e">
        <f>'LUBE RJ'!H36</f>
        <v>#DIV/0!</v>
      </c>
    </row>
    <row r="75" spans="4:8" ht="15.75" customHeight="1" thickBot="1">
      <c r="D75" s="13" t="s">
        <v>14</v>
      </c>
      <c r="E75" s="14">
        <f>'LUBE RJ'!E37</f>
        <v>0</v>
      </c>
      <c r="F75" s="14">
        <f>'LUBE RJ'!F37</f>
        <v>0</v>
      </c>
      <c r="G75" s="23">
        <f>'LUBE RJ'!G37</f>
        <v>0</v>
      </c>
      <c r="H75" s="24" t="e">
        <f>'LUBE RJ'!H37</f>
        <v>#DIV/0!</v>
      </c>
    </row>
    <row r="76" spans="4:8" ht="15.75" customHeight="1">
      <c r="G76" s="17" t="s">
        <v>25</v>
      </c>
      <c r="H76" s="18" t="e">
        <f>SUM(H64:H75)</f>
        <v>#DIV/0!</v>
      </c>
    </row>
    <row r="79" spans="4:8" ht="15.75" customHeight="1" thickBot="1"/>
    <row r="80" spans="4:8" ht="15.75" customHeight="1" thickBot="1">
      <c r="F80" s="27" t="s">
        <v>29</v>
      </c>
      <c r="G80" s="28"/>
    </row>
    <row r="81" spans="4:8" ht="15.75" customHeight="1" thickBot="1">
      <c r="D81" s="3" t="s">
        <v>8</v>
      </c>
      <c r="E81" s="4" t="s">
        <v>9</v>
      </c>
      <c r="F81" s="4" t="s">
        <v>10</v>
      </c>
      <c r="G81" s="4" t="s">
        <v>11</v>
      </c>
      <c r="H81" s="15" t="s">
        <v>12</v>
      </c>
    </row>
    <row r="82" spans="4:8" ht="15.75" customHeight="1">
      <c r="D82" s="19" t="s">
        <v>14</v>
      </c>
      <c r="E82" s="20">
        <f>LLOG!E25</f>
        <v>77</v>
      </c>
      <c r="F82" s="20">
        <f>LLOG!F25</f>
        <v>0</v>
      </c>
      <c r="G82" s="21">
        <f>LLOG!G25</f>
        <v>0</v>
      </c>
      <c r="H82" s="22">
        <f>LLOG!H25</f>
        <v>0</v>
      </c>
    </row>
    <row r="83" spans="4:8" ht="15.75" customHeight="1">
      <c r="D83" s="5" t="s">
        <v>15</v>
      </c>
      <c r="E83" s="6">
        <f>LLOG!E26</f>
        <v>75</v>
      </c>
      <c r="F83" s="6">
        <f>LLOG!F26</f>
        <v>3</v>
      </c>
      <c r="G83" s="7">
        <f>LLOG!G26</f>
        <v>3</v>
      </c>
      <c r="H83" s="16">
        <f>LLOG!H26</f>
        <v>1.3888888888888888E-2</v>
      </c>
    </row>
    <row r="84" spans="4:8" ht="15.75" customHeight="1">
      <c r="D84" s="8" t="s">
        <v>16</v>
      </c>
      <c r="E84" s="9">
        <f>LLOG!E27</f>
        <v>76</v>
      </c>
      <c r="F84" s="9">
        <f>LLOG!F27</f>
        <v>5</v>
      </c>
      <c r="G84" s="10">
        <f>LLOG!G27</f>
        <v>4</v>
      </c>
      <c r="H84" s="16">
        <f>LLOG!H27</f>
        <v>0.06</v>
      </c>
    </row>
    <row r="85" spans="4:8" ht="15.75" customHeight="1">
      <c r="D85" s="11" t="s">
        <v>17</v>
      </c>
      <c r="E85" s="9">
        <f>LLOG!E28</f>
        <v>73</v>
      </c>
      <c r="F85" s="9">
        <f>LLOG!F28</f>
        <v>2</v>
      </c>
      <c r="G85" s="10">
        <f>LLOG!G28</f>
        <v>5</v>
      </c>
      <c r="H85" s="16">
        <f>LLOG!H28</f>
        <v>4.6052631578947366E-2</v>
      </c>
    </row>
    <row r="86" spans="4:8" ht="15.75" customHeight="1">
      <c r="D86" s="12" t="s">
        <v>18</v>
      </c>
      <c r="E86" s="9">
        <f>LLOG!E29</f>
        <v>70</v>
      </c>
      <c r="F86" s="9">
        <f>LLOG!F29</f>
        <v>1</v>
      </c>
      <c r="G86" s="10">
        <f>LLOG!G29</f>
        <v>4</v>
      </c>
      <c r="H86" s="16">
        <f>LLOG!H29</f>
        <v>3.4246575342465752E-2</v>
      </c>
    </row>
    <row r="87" spans="4:8" ht="15.75" customHeight="1">
      <c r="D87" s="8" t="s">
        <v>19</v>
      </c>
      <c r="E87" s="9">
        <f>LLOG!E30</f>
        <v>68</v>
      </c>
      <c r="F87" s="9">
        <f>LLOG!F30</f>
        <v>5</v>
      </c>
      <c r="G87" s="10">
        <f>LLOG!G30</f>
        <v>3</v>
      </c>
      <c r="H87" s="16">
        <f>LLOG!H30</f>
        <v>5.7142857142857141E-2</v>
      </c>
    </row>
    <row r="88" spans="4:8" ht="15.75" customHeight="1">
      <c r="D88" s="11" t="s">
        <v>20</v>
      </c>
      <c r="E88" s="9">
        <f>LLOG!E31</f>
        <v>68</v>
      </c>
      <c r="F88" s="9">
        <f>LLOG!F31</f>
        <v>5</v>
      </c>
      <c r="G88" s="10">
        <f>LLOG!G31</f>
        <v>3</v>
      </c>
      <c r="H88" s="16">
        <f>LLOG!H31</f>
        <v>5.8823529411764705E-2</v>
      </c>
    </row>
    <row r="89" spans="4:8" ht="15.75" customHeight="1">
      <c r="D89" s="12" t="s">
        <v>21</v>
      </c>
      <c r="E89" s="9">
        <f>LLOG!E32</f>
        <v>68</v>
      </c>
      <c r="F89" s="9">
        <f>LLOG!F32</f>
        <v>5</v>
      </c>
      <c r="G89" s="10">
        <f>LLOG!G32</f>
        <v>5</v>
      </c>
      <c r="H89" s="16">
        <f>LLOG!H32</f>
        <v>7.3529411764705885E-2</v>
      </c>
    </row>
    <row r="90" spans="4:8" ht="15.75" customHeight="1">
      <c r="D90" s="8" t="s">
        <v>22</v>
      </c>
      <c r="E90" s="9">
        <f>LLOG!E33</f>
        <v>69</v>
      </c>
      <c r="F90" s="9">
        <f>LLOG!F33</f>
        <v>6</v>
      </c>
      <c r="G90" s="10">
        <f>LLOG!G33</f>
        <v>5</v>
      </c>
      <c r="H90" s="16">
        <f>LLOG!H33</f>
        <v>8.0882352941176475E-2</v>
      </c>
    </row>
    <row r="91" spans="4:8" ht="15.75" customHeight="1">
      <c r="D91" s="11" t="s">
        <v>23</v>
      </c>
      <c r="E91" s="9">
        <f>LLOG!E34</f>
        <v>0</v>
      </c>
      <c r="F91" s="9">
        <f>LLOG!F34</f>
        <v>0</v>
      </c>
      <c r="G91" s="10">
        <f>LLOG!G34</f>
        <v>0</v>
      </c>
      <c r="H91" s="16">
        <f>LLOG!H34</f>
        <v>0</v>
      </c>
    </row>
    <row r="92" spans="4:8" ht="15.75" customHeight="1">
      <c r="D92" s="12" t="s">
        <v>24</v>
      </c>
      <c r="E92" s="9">
        <f>LLOG!E35</f>
        <v>0</v>
      </c>
      <c r="F92" s="9">
        <f>LLOG!F35</f>
        <v>0</v>
      </c>
      <c r="G92" s="10">
        <f>LLOG!G35</f>
        <v>0</v>
      </c>
      <c r="H92" s="16" t="e">
        <f>LLOG!H35</f>
        <v>#DIV/0!</v>
      </c>
    </row>
    <row r="93" spans="4:8" ht="15.75" customHeight="1">
      <c r="D93" s="8" t="s">
        <v>13</v>
      </c>
      <c r="E93" s="9">
        <f>LLOG!E36</f>
        <v>0</v>
      </c>
      <c r="F93" s="9">
        <f>LLOG!F36</f>
        <v>0</v>
      </c>
      <c r="G93" s="10">
        <f>LLOG!G36</f>
        <v>0</v>
      </c>
      <c r="H93" s="16" t="e">
        <f>LLOG!H36</f>
        <v>#DIV/0!</v>
      </c>
    </row>
    <row r="94" spans="4:8" ht="15.75" customHeight="1" thickBot="1">
      <c r="D94" s="13" t="s">
        <v>14</v>
      </c>
      <c r="E94" s="14">
        <f>LLOG!E37</f>
        <v>0</v>
      </c>
      <c r="F94" s="14">
        <f>LLOG!F37</f>
        <v>0</v>
      </c>
      <c r="G94" s="23">
        <f>LLOG!G37</f>
        <v>0</v>
      </c>
      <c r="H94" s="24" t="e">
        <f>LLOG!H37</f>
        <v>#DIV/0!</v>
      </c>
    </row>
    <row r="95" spans="4:8" ht="15.75" customHeight="1">
      <c r="G95" s="17" t="s">
        <v>25</v>
      </c>
      <c r="H95" s="18" t="e">
        <f>SUM(H83:H94)</f>
        <v>#DIV/0!</v>
      </c>
    </row>
    <row r="98" spans="4:8" ht="15.75" customHeight="1" thickBot="1"/>
    <row r="99" spans="4:8" ht="15.75" customHeight="1" thickBot="1">
      <c r="F99" s="27" t="s">
        <v>27</v>
      </c>
      <c r="G99" s="28"/>
    </row>
    <row r="100" spans="4:8" ht="15.75" customHeight="1" thickBot="1">
      <c r="D100" s="3" t="s">
        <v>8</v>
      </c>
      <c r="E100" s="4" t="s">
        <v>9</v>
      </c>
      <c r="F100" s="4" t="s">
        <v>10</v>
      </c>
      <c r="G100" s="4" t="s">
        <v>11</v>
      </c>
      <c r="H100" s="15" t="s">
        <v>12</v>
      </c>
    </row>
    <row r="101" spans="4:8" ht="15.75" customHeight="1">
      <c r="D101" s="19" t="s">
        <v>15</v>
      </c>
      <c r="E101" s="20">
        <f>'IMPERIO '!E25</f>
        <v>76</v>
      </c>
      <c r="F101" s="20">
        <f>'IMPERIO '!F25</f>
        <v>0</v>
      </c>
      <c r="G101" s="21">
        <f>'IMPERIO '!G25</f>
        <v>0</v>
      </c>
      <c r="H101" s="22">
        <f>'IMPERIO '!H25</f>
        <v>0</v>
      </c>
    </row>
    <row r="102" spans="4:8" ht="15.75" customHeight="1">
      <c r="D102" s="5" t="s">
        <v>16</v>
      </c>
      <c r="E102" s="6">
        <f>'IMPERIO '!E26</f>
        <v>22</v>
      </c>
      <c r="F102" s="6">
        <f>'IMPERIO '!F26</f>
        <v>1</v>
      </c>
      <c r="G102" s="7">
        <f>'IMPERIO '!G26</f>
        <v>15</v>
      </c>
      <c r="H102" s="16">
        <f>'IMPERIO '!H26</f>
        <v>3.7037037037037035E-2</v>
      </c>
    </row>
    <row r="103" spans="4:8" ht="15.75" customHeight="1">
      <c r="D103" s="8" t="s">
        <v>17</v>
      </c>
      <c r="E103" s="9">
        <f>'IMPERIO '!E27</f>
        <v>8</v>
      </c>
      <c r="F103" s="9">
        <f>'IMPERIO '!F27</f>
        <v>0</v>
      </c>
      <c r="G103" s="10">
        <f>'IMPERIO '!G27</f>
        <v>3</v>
      </c>
      <c r="H103" s="16">
        <f>'IMPERIO '!H27</f>
        <v>6.8181818181818177E-2</v>
      </c>
    </row>
    <row r="104" spans="4:8" ht="15.75" customHeight="1">
      <c r="D104" s="11" t="s">
        <v>18</v>
      </c>
      <c r="E104" s="9">
        <f>'IMPERIO '!E28</f>
        <v>6</v>
      </c>
      <c r="F104" s="9">
        <f>'IMPERIO '!F28</f>
        <v>0</v>
      </c>
      <c r="G104" s="10">
        <f>'IMPERIO '!G28</f>
        <v>1</v>
      </c>
      <c r="H104" s="16">
        <f>'IMPERIO '!H28</f>
        <v>6.25E-2</v>
      </c>
    </row>
    <row r="105" spans="4:8" ht="15.75" customHeight="1">
      <c r="D105" s="12" t="s">
        <v>19</v>
      </c>
      <c r="E105" s="9">
        <f>'IMPERIO '!E29</f>
        <v>5</v>
      </c>
      <c r="F105" s="9">
        <f>'IMPERIO '!F29</f>
        <v>0</v>
      </c>
      <c r="G105" s="10">
        <f>'IMPERIO '!G29</f>
        <v>1</v>
      </c>
      <c r="H105" s="16">
        <f>'IMPERIO '!H29</f>
        <v>8.3333333333333329E-2</v>
      </c>
    </row>
    <row r="106" spans="4:8" ht="15.75" customHeight="1">
      <c r="D106" s="8" t="s">
        <v>20</v>
      </c>
      <c r="E106" s="9">
        <f>'IMPERIO '!E30</f>
        <v>5</v>
      </c>
      <c r="F106" s="9">
        <f>'IMPERIO '!F30</f>
        <v>1</v>
      </c>
      <c r="G106" s="10">
        <f>'IMPERIO '!G30</f>
        <v>0</v>
      </c>
      <c r="H106" s="16">
        <f>'IMPERIO '!H30</f>
        <v>0.1</v>
      </c>
    </row>
    <row r="107" spans="4:8" ht="15.75" customHeight="1">
      <c r="D107" s="11" t="s">
        <v>21</v>
      </c>
      <c r="E107" s="9">
        <f>'IMPERIO '!E31</f>
        <v>5</v>
      </c>
      <c r="F107" s="9">
        <f>'IMPERIO '!F31</f>
        <v>0</v>
      </c>
      <c r="G107" s="10">
        <f>'IMPERIO '!G31</f>
        <v>0</v>
      </c>
      <c r="H107" s="16">
        <f>'IMPERIO '!H31</f>
        <v>0</v>
      </c>
    </row>
    <row r="108" spans="4:8" ht="15.75" customHeight="1">
      <c r="D108" s="12" t="s">
        <v>22</v>
      </c>
      <c r="E108" s="9">
        <f>'IMPERIO '!E32</f>
        <v>5</v>
      </c>
      <c r="F108" s="9">
        <f>'IMPERIO '!F32</f>
        <v>0</v>
      </c>
      <c r="G108" s="10">
        <f>'IMPERIO '!G32</f>
        <v>0</v>
      </c>
      <c r="H108" s="16">
        <f>'IMPERIO '!H32</f>
        <v>0</v>
      </c>
    </row>
    <row r="109" spans="4:8" ht="15.75" customHeight="1">
      <c r="D109" s="8" t="s">
        <v>23</v>
      </c>
      <c r="E109" s="9">
        <f>'IMPERIO '!E33</f>
        <v>5</v>
      </c>
      <c r="F109" s="9">
        <f>'IMPERIO '!F33</f>
        <v>0</v>
      </c>
      <c r="G109" s="10">
        <f>'IMPERIO '!G33</f>
        <v>0</v>
      </c>
      <c r="H109" s="16">
        <f>'IMPERIO '!H33</f>
        <v>0</v>
      </c>
    </row>
    <row r="110" spans="4:8" ht="15.75" customHeight="1">
      <c r="D110" s="11" t="s">
        <v>24</v>
      </c>
      <c r="E110" s="9">
        <f>'IMPERIO '!E34</f>
        <v>0</v>
      </c>
      <c r="F110" s="9">
        <f>'IMPERIO '!F34</f>
        <v>0</v>
      </c>
      <c r="G110" s="10">
        <f>'IMPERIO '!G34</f>
        <v>0</v>
      </c>
      <c r="H110" s="16">
        <f>'IMPERIO '!H34</f>
        <v>0</v>
      </c>
    </row>
    <row r="111" spans="4:8" ht="15.75" customHeight="1">
      <c r="D111" s="12" t="s">
        <v>13</v>
      </c>
      <c r="E111" s="9">
        <f>'IMPERIO '!E35</f>
        <v>0</v>
      </c>
      <c r="F111" s="9">
        <f>'IMPERIO '!F35</f>
        <v>0</v>
      </c>
      <c r="G111" s="10">
        <f>'IMPERIO '!G35</f>
        <v>0</v>
      </c>
      <c r="H111" s="16" t="e">
        <f>'IMPERIO '!H35</f>
        <v>#DIV/0!</v>
      </c>
    </row>
    <row r="112" spans="4:8" ht="15.75" customHeight="1">
      <c r="D112" s="8" t="s">
        <v>14</v>
      </c>
      <c r="E112" s="9">
        <f>'IMPERIO '!E36</f>
        <v>0</v>
      </c>
      <c r="F112" s="9">
        <f>'IMPERIO '!F36</f>
        <v>0</v>
      </c>
      <c r="G112" s="10">
        <f>'IMPERIO '!G36</f>
        <v>0</v>
      </c>
      <c r="H112" s="16" t="e">
        <f>'IMPERIO '!H36</f>
        <v>#DIV/0!</v>
      </c>
    </row>
    <row r="113" spans="4:8" ht="15.75" customHeight="1" thickBot="1">
      <c r="D113" s="13" t="s">
        <v>15</v>
      </c>
      <c r="E113" s="14">
        <f>'IMPERIO '!E37</f>
        <v>0</v>
      </c>
      <c r="F113" s="14">
        <f>'IMPERIO '!F37</f>
        <v>0</v>
      </c>
      <c r="G113" s="23">
        <f>'IMPERIO '!G37</f>
        <v>0</v>
      </c>
      <c r="H113" s="24" t="e">
        <f>'IMPERIO '!H37</f>
        <v>#DIV/0!</v>
      </c>
    </row>
    <row r="114" spans="4:8" ht="15.75" customHeight="1">
      <c r="G114" s="17" t="s">
        <v>25</v>
      </c>
      <c r="H114" s="18" t="e">
        <f>SUM(H102:H113)</f>
        <v>#DIV/0!</v>
      </c>
    </row>
    <row r="116" spans="4:8" ht="15.75" customHeight="1" thickBot="1"/>
    <row r="117" spans="4:8" ht="15.75" customHeight="1" thickBot="1">
      <c r="F117" s="27" t="s">
        <v>28</v>
      </c>
      <c r="G117" s="28"/>
    </row>
    <row r="118" spans="4:8" ht="15.75" customHeight="1" thickBot="1">
      <c r="D118" s="3" t="s">
        <v>8</v>
      </c>
      <c r="E118" s="4" t="s">
        <v>9</v>
      </c>
      <c r="F118" s="4" t="s">
        <v>10</v>
      </c>
      <c r="G118" s="4" t="s">
        <v>11</v>
      </c>
      <c r="H118" s="15" t="s">
        <v>12</v>
      </c>
    </row>
    <row r="119" spans="4:8" ht="15.75" customHeight="1">
      <c r="D119" s="19" t="s">
        <v>15</v>
      </c>
      <c r="E119" s="20">
        <f>SERMAR!E25</f>
        <v>7</v>
      </c>
      <c r="F119" s="20">
        <f>SERMAR!F25</f>
        <v>0</v>
      </c>
      <c r="G119" s="21">
        <f>SERMAR!G25</f>
        <v>0</v>
      </c>
      <c r="H119" s="22">
        <f>SERMAR!H25</f>
        <v>0</v>
      </c>
    </row>
    <row r="120" spans="4:8" ht="15.75" customHeight="1">
      <c r="D120" s="5" t="s">
        <v>16</v>
      </c>
      <c r="E120" s="6">
        <f>SERMAR!E26</f>
        <v>7</v>
      </c>
      <c r="F120" s="6">
        <f>SERMAR!F26</f>
        <v>0</v>
      </c>
      <c r="G120" s="7">
        <f>SERMAR!G26</f>
        <v>0</v>
      </c>
      <c r="H120" s="16">
        <f>SERMAR!H26</f>
        <v>0</v>
      </c>
    </row>
    <row r="121" spans="4:8" ht="15.75" customHeight="1">
      <c r="D121" s="8" t="s">
        <v>17</v>
      </c>
      <c r="E121" s="9">
        <f>SERMAR!E27</f>
        <v>7</v>
      </c>
      <c r="F121" s="9">
        <f>SERMAR!F27</f>
        <v>0</v>
      </c>
      <c r="G121" s="10">
        <f>SERMAR!G27</f>
        <v>0</v>
      </c>
      <c r="H121" s="16">
        <f>SERMAR!H27</f>
        <v>0</v>
      </c>
    </row>
    <row r="122" spans="4:8" ht="15.75" customHeight="1">
      <c r="D122" s="11" t="s">
        <v>18</v>
      </c>
      <c r="E122" s="9">
        <f>SERMAR!E28</f>
        <v>7</v>
      </c>
      <c r="F122" s="9">
        <f>SERMAR!F28</f>
        <v>0</v>
      </c>
      <c r="G122" s="10">
        <f>SERMAR!G28</f>
        <v>0</v>
      </c>
      <c r="H122" s="16">
        <f>SERMAR!H28</f>
        <v>0</v>
      </c>
    </row>
    <row r="123" spans="4:8" ht="15.75" customHeight="1">
      <c r="D123" s="12" t="s">
        <v>19</v>
      </c>
      <c r="E123" s="9">
        <f>SERMAR!E29</f>
        <v>7</v>
      </c>
      <c r="F123" s="9">
        <f>SERMAR!F29</f>
        <v>0</v>
      </c>
      <c r="G123" s="10">
        <f>SERMAR!G29</f>
        <v>1</v>
      </c>
      <c r="H123" s="16">
        <f>SERMAR!H29</f>
        <v>7.1428571428571425E-2</v>
      </c>
    </row>
    <row r="124" spans="4:8" ht="15.75" customHeight="1">
      <c r="D124" s="8" t="s">
        <v>20</v>
      </c>
      <c r="E124" s="9">
        <f>SERMAR!E30</f>
        <v>6</v>
      </c>
      <c r="F124" s="9">
        <f>SERMAR!F30</f>
        <v>0</v>
      </c>
      <c r="G124" s="10">
        <f>SERMAR!G30</f>
        <v>1</v>
      </c>
      <c r="H124" s="16">
        <f>SERMAR!H30</f>
        <v>7.1428571428571425E-2</v>
      </c>
    </row>
    <row r="125" spans="4:8" ht="15.75" customHeight="1">
      <c r="D125" s="11" t="s">
        <v>21</v>
      </c>
      <c r="E125" s="9">
        <f>SERMAR!E31</f>
        <v>5</v>
      </c>
      <c r="F125" s="9">
        <f>SERMAR!F31</f>
        <v>0</v>
      </c>
      <c r="G125" s="10">
        <f>SERMAR!G31</f>
        <v>0</v>
      </c>
      <c r="H125" s="16">
        <f>SERMAR!H31</f>
        <v>0</v>
      </c>
    </row>
    <row r="126" spans="4:8" ht="15.75" customHeight="1">
      <c r="D126" s="12" t="s">
        <v>22</v>
      </c>
      <c r="E126" s="9">
        <f>SERMAR!E32</f>
        <v>5</v>
      </c>
      <c r="F126" s="9">
        <f>SERMAR!F32</f>
        <v>0</v>
      </c>
      <c r="G126" s="10">
        <f>SERMAR!G32</f>
        <v>0</v>
      </c>
      <c r="H126" s="16">
        <f>SERMAR!H32</f>
        <v>0</v>
      </c>
    </row>
    <row r="127" spans="4:8" ht="15.75" customHeight="1">
      <c r="D127" s="8" t="s">
        <v>23</v>
      </c>
      <c r="E127" s="9">
        <f>SERMAR!E33</f>
        <v>5</v>
      </c>
      <c r="F127" s="9">
        <f>SERMAR!F33</f>
        <v>0</v>
      </c>
      <c r="G127" s="10">
        <f>SERMAR!G33</f>
        <v>0</v>
      </c>
      <c r="H127" s="16">
        <f>SERMAR!H33</f>
        <v>0</v>
      </c>
    </row>
    <row r="128" spans="4:8" ht="15.75" customHeight="1">
      <c r="D128" s="11" t="s">
        <v>24</v>
      </c>
      <c r="E128" s="9">
        <f>SERMAR!E34</f>
        <v>0</v>
      </c>
      <c r="F128" s="9">
        <f>SERMAR!F34</f>
        <v>0</v>
      </c>
      <c r="G128" s="10">
        <f>SERMAR!G34</f>
        <v>0</v>
      </c>
      <c r="H128" s="16">
        <f>SERMAR!H34</f>
        <v>0</v>
      </c>
    </row>
    <row r="129" spans="4:8" ht="15.75" customHeight="1">
      <c r="D129" s="12" t="s">
        <v>13</v>
      </c>
      <c r="E129" s="9">
        <f>SERMAR!E35</f>
        <v>0</v>
      </c>
      <c r="F129" s="9">
        <f>SERMAR!F35</f>
        <v>0</v>
      </c>
      <c r="G129" s="10">
        <f>SERMAR!G35</f>
        <v>0</v>
      </c>
      <c r="H129" s="16" t="e">
        <f>SERMAR!H35</f>
        <v>#DIV/0!</v>
      </c>
    </row>
    <row r="130" spans="4:8" ht="15.75" customHeight="1">
      <c r="D130" s="8" t="s">
        <v>14</v>
      </c>
      <c r="E130" s="9">
        <f>SERMAR!E36</f>
        <v>0</v>
      </c>
      <c r="F130" s="9">
        <f>SERMAR!F36</f>
        <v>0</v>
      </c>
      <c r="G130" s="10">
        <f>SERMAR!G36</f>
        <v>0</v>
      </c>
      <c r="H130" s="16" t="e">
        <f>SERMAR!H36</f>
        <v>#DIV/0!</v>
      </c>
    </row>
    <row r="131" spans="4:8" ht="15.75" customHeight="1" thickBot="1">
      <c r="D131" s="13" t="s">
        <v>15</v>
      </c>
      <c r="E131" s="14">
        <f>SERMAR!E37</f>
        <v>0</v>
      </c>
      <c r="F131" s="14">
        <f>SERMAR!F37</f>
        <v>0</v>
      </c>
      <c r="G131" s="23">
        <f>SERMAR!G37</f>
        <v>0</v>
      </c>
      <c r="H131" s="24" t="e">
        <f>SERMAR!H37</f>
        <v>#DIV/0!</v>
      </c>
    </row>
    <row r="132" spans="4:8" ht="15.75" customHeight="1">
      <c r="G132" s="17" t="s">
        <v>25</v>
      </c>
      <c r="H132" s="18" t="e">
        <f>SUM(H120:H131)</f>
        <v>#DIV/0!</v>
      </c>
    </row>
  </sheetData>
  <mergeCells count="8">
    <mergeCell ref="F80:G80"/>
    <mergeCell ref="F99:G99"/>
    <mergeCell ref="F117:G117"/>
    <mergeCell ref="F23:G23"/>
    <mergeCell ref="A1:B3"/>
    <mergeCell ref="C1:I3"/>
    <mergeCell ref="F42:G42"/>
    <mergeCell ref="F61:G61"/>
  </mergeCells>
  <phoneticPr fontId="9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E7C37-1661-4A19-8F1D-41D6EFB95B31}">
  <dimension ref="A1:I38"/>
  <sheetViews>
    <sheetView topLeftCell="A5" workbookViewId="0">
      <selection activeCell="J28" sqref="J28"/>
    </sheetView>
  </sheetViews>
  <sheetFormatPr defaultColWidth="14.42578125" defaultRowHeight="15.75" customHeight="1"/>
  <cols>
    <col min="1" max="1" width="26.5703125" style="1" customWidth="1"/>
    <col min="2" max="2" width="2.28515625" style="2" customWidth="1"/>
    <col min="3" max="3" width="16.42578125" style="2" customWidth="1"/>
    <col min="4" max="8" width="29" style="2" customWidth="1"/>
    <col min="9" max="9" width="18.85546875" style="2" customWidth="1"/>
    <col min="10" max="10" width="26.42578125" style="2" customWidth="1"/>
    <col min="11" max="16384" width="14.42578125" style="2"/>
  </cols>
  <sheetData>
    <row r="1" spans="1:9" s="1" customFormat="1" ht="33.75" customHeight="1">
      <c r="A1" s="29" t="s">
        <v>5</v>
      </c>
      <c r="B1" s="30"/>
      <c r="C1" s="35" t="s">
        <v>6</v>
      </c>
      <c r="D1" s="36"/>
      <c r="E1" s="36"/>
      <c r="F1" s="36"/>
      <c r="G1" s="36"/>
      <c r="H1" s="36"/>
      <c r="I1" s="36"/>
    </row>
    <row r="2" spans="1:9" s="1" customFormat="1" ht="6.75" customHeight="1">
      <c r="A2" s="31"/>
      <c r="B2" s="32"/>
      <c r="C2" s="35"/>
      <c r="D2" s="36"/>
      <c r="E2" s="36"/>
      <c r="F2" s="36"/>
      <c r="G2" s="36"/>
      <c r="H2" s="36"/>
      <c r="I2" s="36"/>
    </row>
    <row r="3" spans="1:9" s="1" customFormat="1" ht="33.75" customHeight="1">
      <c r="A3" s="33"/>
      <c r="B3" s="34"/>
      <c r="C3" s="35"/>
      <c r="D3" s="36"/>
      <c r="E3" s="36"/>
      <c r="F3" s="36"/>
      <c r="G3" s="36"/>
      <c r="H3" s="36"/>
      <c r="I3" s="36"/>
    </row>
    <row r="4" spans="1:9" s="1" customFormat="1" ht="9" customHeight="1"/>
    <row r="5" spans="1:9" ht="11.25" customHeight="1"/>
    <row r="6" spans="1:9" ht="38.25" customHeight="1"/>
    <row r="7" spans="1:9" ht="12"/>
    <row r="8" spans="1:9" ht="12"/>
    <row r="21" spans="4:8" ht="19.5" customHeight="1"/>
    <row r="22" spans="4:8" ht="12.75" thickBot="1"/>
    <row r="23" spans="4:8" ht="15.75" customHeight="1" thickBot="1">
      <c r="F23" s="27" t="s">
        <v>7</v>
      </c>
      <c r="G23" s="28"/>
    </row>
    <row r="24" spans="4:8" ht="15.75" customHeight="1" thickBot="1">
      <c r="D24" s="3" t="s">
        <v>8</v>
      </c>
      <c r="E24" s="4" t="s">
        <v>9</v>
      </c>
      <c r="F24" s="4" t="s">
        <v>10</v>
      </c>
      <c r="G24" s="4" t="s">
        <v>11</v>
      </c>
      <c r="H24" s="15" t="s">
        <v>12</v>
      </c>
    </row>
    <row r="25" spans="4:8" ht="15.75" customHeight="1">
      <c r="D25" s="19" t="s">
        <v>13</v>
      </c>
      <c r="E25" s="20">
        <v>0</v>
      </c>
      <c r="F25" s="20"/>
      <c r="G25" s="21"/>
      <c r="H25" s="22"/>
    </row>
    <row r="26" spans="4:8" ht="15.75" customHeight="1">
      <c r="D26" s="5" t="s">
        <v>14</v>
      </c>
      <c r="E26" s="6">
        <v>109</v>
      </c>
      <c r="F26" s="6">
        <v>3</v>
      </c>
      <c r="G26" s="7">
        <v>3</v>
      </c>
      <c r="H26" s="16">
        <f>((F26+G26)/2)/E26</f>
        <v>2.7522935779816515E-2</v>
      </c>
    </row>
    <row r="27" spans="4:8" ht="15.75" customHeight="1">
      <c r="D27" s="8" t="s">
        <v>15</v>
      </c>
      <c r="E27" s="9">
        <v>110</v>
      </c>
      <c r="F27" s="9">
        <v>2</v>
      </c>
      <c r="G27" s="10">
        <v>3</v>
      </c>
      <c r="H27" s="16">
        <f t="shared" ref="H27:H37" si="0">((F27+G27)/2)/E27</f>
        <v>2.2727272727272728E-2</v>
      </c>
    </row>
    <row r="28" spans="4:8" ht="15.75" customHeight="1">
      <c r="D28" s="11" t="s">
        <v>16</v>
      </c>
      <c r="E28" s="9">
        <v>104</v>
      </c>
      <c r="F28" s="9">
        <v>1</v>
      </c>
      <c r="G28" s="10">
        <v>9</v>
      </c>
      <c r="H28" s="16">
        <f t="shared" si="0"/>
        <v>4.807692307692308E-2</v>
      </c>
    </row>
    <row r="29" spans="4:8" ht="15.75" customHeight="1">
      <c r="D29" s="12" t="s">
        <v>17</v>
      </c>
      <c r="E29" s="9">
        <v>112</v>
      </c>
      <c r="F29" s="9">
        <v>7</v>
      </c>
      <c r="G29" s="10">
        <v>6</v>
      </c>
      <c r="H29" s="16">
        <f t="shared" si="0"/>
        <v>5.8035714285714288E-2</v>
      </c>
    </row>
    <row r="30" spans="4:8" ht="15.75" customHeight="1">
      <c r="D30" s="8" t="s">
        <v>18</v>
      </c>
      <c r="E30" s="9">
        <v>115</v>
      </c>
      <c r="F30" s="9">
        <v>5</v>
      </c>
      <c r="G30" s="10">
        <v>3</v>
      </c>
      <c r="H30" s="16">
        <f t="shared" si="0"/>
        <v>3.4782608695652174E-2</v>
      </c>
    </row>
    <row r="31" spans="4:8" ht="15.75" customHeight="1">
      <c r="D31" s="11" t="s">
        <v>19</v>
      </c>
      <c r="E31" s="9">
        <v>114</v>
      </c>
      <c r="F31" s="9">
        <v>4</v>
      </c>
      <c r="G31" s="10">
        <v>4</v>
      </c>
      <c r="H31" s="16">
        <f t="shared" si="0"/>
        <v>3.5087719298245612E-2</v>
      </c>
    </row>
    <row r="32" spans="4:8" ht="15.75" customHeight="1">
      <c r="D32" s="12" t="s">
        <v>20</v>
      </c>
      <c r="E32" s="9">
        <v>109</v>
      </c>
      <c r="F32" s="9">
        <v>3</v>
      </c>
      <c r="G32" s="10">
        <v>7</v>
      </c>
      <c r="H32" s="16">
        <f t="shared" si="0"/>
        <v>4.5871559633027525E-2</v>
      </c>
    </row>
    <row r="33" spans="4:8" ht="15.75" customHeight="1">
      <c r="D33" s="8" t="s">
        <v>21</v>
      </c>
      <c r="E33" s="9">
        <v>113</v>
      </c>
      <c r="F33" s="9">
        <v>7</v>
      </c>
      <c r="G33" s="10">
        <v>8</v>
      </c>
      <c r="H33" s="16">
        <f t="shared" si="0"/>
        <v>6.637168141592921E-2</v>
      </c>
    </row>
    <row r="34" spans="4:8" ht="15.75" customHeight="1">
      <c r="D34" s="11" t="s">
        <v>22</v>
      </c>
      <c r="E34" s="9"/>
      <c r="F34" s="9"/>
      <c r="G34" s="10"/>
      <c r="H34" s="16" t="e">
        <f t="shared" si="0"/>
        <v>#DIV/0!</v>
      </c>
    </row>
    <row r="35" spans="4:8" ht="15.75" customHeight="1">
      <c r="D35" s="12" t="s">
        <v>23</v>
      </c>
      <c r="E35" s="9"/>
      <c r="F35" s="9"/>
      <c r="G35" s="10"/>
      <c r="H35" s="16" t="e">
        <f t="shared" si="0"/>
        <v>#DIV/0!</v>
      </c>
    </row>
    <row r="36" spans="4:8" ht="15.75" customHeight="1">
      <c r="D36" s="8" t="s">
        <v>24</v>
      </c>
      <c r="E36" s="9"/>
      <c r="F36" s="9"/>
      <c r="G36" s="10"/>
      <c r="H36" s="16" t="e">
        <f t="shared" si="0"/>
        <v>#DIV/0!</v>
      </c>
    </row>
    <row r="37" spans="4:8" ht="15.75" customHeight="1" thickBot="1">
      <c r="D37" s="13" t="s">
        <v>13</v>
      </c>
      <c r="E37" s="14"/>
      <c r="F37" s="14"/>
      <c r="G37" s="23"/>
      <c r="H37" s="16" t="e">
        <f t="shared" si="0"/>
        <v>#DIV/0!</v>
      </c>
    </row>
    <row r="38" spans="4:8" ht="19.5" customHeight="1">
      <c r="G38" s="17" t="s">
        <v>25</v>
      </c>
      <c r="H38" s="18" t="e">
        <f>SUM(H26:H37)</f>
        <v>#DIV/0!</v>
      </c>
    </row>
  </sheetData>
  <mergeCells count="3">
    <mergeCell ref="A1:B3"/>
    <mergeCell ref="C1:I3"/>
    <mergeCell ref="F23:G23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EFBCC-32AB-40DC-B51A-75451C20A323}">
  <dimension ref="A1:I38"/>
  <sheetViews>
    <sheetView topLeftCell="A6" workbookViewId="0">
      <selection activeCell="H27" sqref="H27"/>
    </sheetView>
  </sheetViews>
  <sheetFormatPr defaultColWidth="14.42578125" defaultRowHeight="15.75" customHeight="1"/>
  <cols>
    <col min="1" max="1" width="26.5703125" style="1" customWidth="1"/>
    <col min="2" max="2" width="2.28515625" style="2" customWidth="1"/>
    <col min="3" max="3" width="16.42578125" style="2" customWidth="1"/>
    <col min="4" max="8" width="29" style="2" customWidth="1"/>
    <col min="9" max="9" width="18.85546875" style="2" customWidth="1"/>
    <col min="10" max="10" width="26.42578125" style="2" customWidth="1"/>
    <col min="11" max="16384" width="14.42578125" style="2"/>
  </cols>
  <sheetData>
    <row r="1" spans="1:9" s="1" customFormat="1" ht="33.75" customHeight="1">
      <c r="A1" s="29" t="s">
        <v>5</v>
      </c>
      <c r="B1" s="30"/>
      <c r="C1" s="35" t="s">
        <v>6</v>
      </c>
      <c r="D1" s="36"/>
      <c r="E1" s="36"/>
      <c r="F1" s="36"/>
      <c r="G1" s="36"/>
      <c r="H1" s="36"/>
      <c r="I1" s="36"/>
    </row>
    <row r="2" spans="1:9" s="1" customFormat="1" ht="6.75" customHeight="1">
      <c r="A2" s="31"/>
      <c r="B2" s="32"/>
      <c r="C2" s="35"/>
      <c r="D2" s="36"/>
      <c r="E2" s="36"/>
      <c r="F2" s="36"/>
      <c r="G2" s="36"/>
      <c r="H2" s="36"/>
      <c r="I2" s="36"/>
    </row>
    <row r="3" spans="1:9" s="1" customFormat="1" ht="33.75" customHeight="1">
      <c r="A3" s="33"/>
      <c r="B3" s="34"/>
      <c r="C3" s="35"/>
      <c r="D3" s="36"/>
      <c r="E3" s="36"/>
      <c r="F3" s="36"/>
      <c r="G3" s="36"/>
      <c r="H3" s="36"/>
      <c r="I3" s="36"/>
    </row>
    <row r="4" spans="1:9" s="1" customFormat="1" ht="9" customHeight="1"/>
    <row r="5" spans="1:9" ht="11.25" customHeight="1"/>
    <row r="6" spans="1:9" ht="38.25" customHeight="1"/>
    <row r="7" spans="1:9" ht="12"/>
    <row r="8" spans="1:9" ht="12"/>
    <row r="21" spans="4:8" ht="19.5" customHeight="1"/>
    <row r="22" spans="4:8" ht="12.75" thickBot="1"/>
    <row r="23" spans="4:8" ht="15.75" customHeight="1" thickBot="1">
      <c r="F23" s="27" t="s">
        <v>7</v>
      </c>
      <c r="G23" s="28"/>
    </row>
    <row r="24" spans="4:8" ht="15.75" customHeight="1" thickBot="1">
      <c r="D24" s="3" t="s">
        <v>8</v>
      </c>
      <c r="E24" s="4" t="s">
        <v>9</v>
      </c>
      <c r="F24" s="4" t="s">
        <v>10</v>
      </c>
      <c r="G24" s="4" t="s">
        <v>11</v>
      </c>
      <c r="H24" s="15" t="s">
        <v>12</v>
      </c>
    </row>
    <row r="25" spans="4:8" ht="15.75" customHeight="1">
      <c r="D25" s="19" t="s">
        <v>13</v>
      </c>
      <c r="E25" s="20">
        <v>0</v>
      </c>
      <c r="F25" s="20"/>
      <c r="G25" s="21"/>
      <c r="H25" s="22"/>
    </row>
    <row r="26" spans="4:8" ht="15.75" customHeight="1">
      <c r="D26" s="5" t="s">
        <v>14</v>
      </c>
      <c r="E26" s="6">
        <v>0</v>
      </c>
      <c r="F26" s="6">
        <v>0</v>
      </c>
      <c r="G26" s="7">
        <v>0</v>
      </c>
      <c r="H26" s="16" t="e">
        <f>((F26+G26)/2)/E26</f>
        <v>#DIV/0!</v>
      </c>
    </row>
    <row r="27" spans="4:8" ht="15.75" customHeight="1">
      <c r="D27" s="8" t="s">
        <v>15</v>
      </c>
      <c r="E27" s="9">
        <v>1</v>
      </c>
      <c r="F27" s="9">
        <v>1</v>
      </c>
      <c r="G27" s="10">
        <v>0</v>
      </c>
      <c r="H27" s="16">
        <f t="shared" ref="H27:H37" si="0">((F27+G27)/2)/E27</f>
        <v>0.5</v>
      </c>
    </row>
    <row r="28" spans="4:8" ht="15.75" customHeight="1">
      <c r="D28" s="11" t="s">
        <v>16</v>
      </c>
      <c r="E28" s="9">
        <v>10</v>
      </c>
      <c r="F28" s="9">
        <v>9</v>
      </c>
      <c r="G28" s="10">
        <v>0</v>
      </c>
      <c r="H28" s="16">
        <f t="shared" si="0"/>
        <v>0.45</v>
      </c>
    </row>
    <row r="29" spans="4:8" ht="15.75" customHeight="1">
      <c r="D29" s="12" t="s">
        <v>17</v>
      </c>
      <c r="E29" s="9">
        <v>10</v>
      </c>
      <c r="F29" s="9">
        <v>0</v>
      </c>
      <c r="G29" s="10">
        <v>0</v>
      </c>
      <c r="H29" s="16">
        <f t="shared" si="0"/>
        <v>0</v>
      </c>
    </row>
    <row r="30" spans="4:8" ht="15.75" customHeight="1">
      <c r="D30" s="8" t="s">
        <v>18</v>
      </c>
      <c r="E30" s="9">
        <v>10</v>
      </c>
      <c r="F30" s="9">
        <v>0</v>
      </c>
      <c r="G30" s="10">
        <v>0</v>
      </c>
      <c r="H30" s="16">
        <f t="shared" si="0"/>
        <v>0</v>
      </c>
    </row>
    <row r="31" spans="4:8" ht="15.75" customHeight="1">
      <c r="D31" s="11" t="s">
        <v>19</v>
      </c>
      <c r="E31" s="9">
        <v>10</v>
      </c>
      <c r="F31" s="9">
        <v>0</v>
      </c>
      <c r="G31" s="10">
        <v>0</v>
      </c>
      <c r="H31" s="16">
        <f t="shared" si="0"/>
        <v>0</v>
      </c>
    </row>
    <row r="32" spans="4:8" ht="15.75" customHeight="1">
      <c r="D32" s="12" t="s">
        <v>20</v>
      </c>
      <c r="E32" s="9">
        <v>11</v>
      </c>
      <c r="F32" s="9">
        <v>1</v>
      </c>
      <c r="G32" s="10">
        <v>0</v>
      </c>
      <c r="H32" s="16">
        <f t="shared" si="0"/>
        <v>4.5454545454545456E-2</v>
      </c>
    </row>
    <row r="33" spans="4:8" ht="15.75" customHeight="1">
      <c r="D33" s="8" t="s">
        <v>21</v>
      </c>
      <c r="E33" s="9">
        <v>12</v>
      </c>
      <c r="F33" s="9">
        <v>1</v>
      </c>
      <c r="G33" s="10">
        <v>0</v>
      </c>
      <c r="H33" s="16">
        <f t="shared" si="0"/>
        <v>4.1666666666666664E-2</v>
      </c>
    </row>
    <row r="34" spans="4:8" ht="15.75" customHeight="1">
      <c r="D34" s="11" t="s">
        <v>22</v>
      </c>
      <c r="E34" s="9"/>
      <c r="F34" s="9"/>
      <c r="G34" s="10"/>
      <c r="H34" s="16" t="e">
        <f t="shared" si="0"/>
        <v>#DIV/0!</v>
      </c>
    </row>
    <row r="35" spans="4:8" ht="15.75" customHeight="1">
      <c r="D35" s="12" t="s">
        <v>23</v>
      </c>
      <c r="E35" s="9"/>
      <c r="F35" s="9"/>
      <c r="G35" s="10"/>
      <c r="H35" s="16" t="e">
        <f t="shared" si="0"/>
        <v>#DIV/0!</v>
      </c>
    </row>
    <row r="36" spans="4:8" ht="15.75" customHeight="1">
      <c r="D36" s="8" t="s">
        <v>24</v>
      </c>
      <c r="E36" s="9"/>
      <c r="F36" s="9"/>
      <c r="G36" s="10"/>
      <c r="H36" s="16" t="e">
        <f t="shared" si="0"/>
        <v>#DIV/0!</v>
      </c>
    </row>
    <row r="37" spans="4:8" ht="15.75" customHeight="1" thickBot="1">
      <c r="D37" s="13" t="s">
        <v>13</v>
      </c>
      <c r="E37" s="14"/>
      <c r="F37" s="14"/>
      <c r="G37" s="23"/>
      <c r="H37" s="16" t="e">
        <f t="shared" si="0"/>
        <v>#DIV/0!</v>
      </c>
    </row>
    <row r="38" spans="4:8" ht="19.5" customHeight="1">
      <c r="G38" s="17" t="s">
        <v>25</v>
      </c>
      <c r="H38" s="18" t="e">
        <f>SUM(H26:H37)</f>
        <v>#DIV/0!</v>
      </c>
    </row>
  </sheetData>
  <mergeCells count="3">
    <mergeCell ref="A1:B3"/>
    <mergeCell ref="C1:I3"/>
    <mergeCell ref="F23:G23"/>
  </mergeCells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A452A-6796-43E2-BA67-B1A24C3FA6F8}">
  <dimension ref="A1:I38"/>
  <sheetViews>
    <sheetView topLeftCell="A7" workbookViewId="0">
      <selection activeCell="F33" sqref="F33"/>
    </sheetView>
  </sheetViews>
  <sheetFormatPr defaultColWidth="14.42578125" defaultRowHeight="15.75" customHeight="1"/>
  <cols>
    <col min="1" max="1" width="26.5703125" style="1" customWidth="1"/>
    <col min="2" max="2" width="2.28515625" style="2" customWidth="1"/>
    <col min="3" max="3" width="16.42578125" style="2" customWidth="1"/>
    <col min="4" max="8" width="29" style="2" customWidth="1"/>
    <col min="9" max="9" width="18.85546875" style="2" customWidth="1"/>
    <col min="10" max="10" width="26.42578125" style="2" customWidth="1"/>
    <col min="11" max="16384" width="14.42578125" style="2"/>
  </cols>
  <sheetData>
    <row r="1" spans="1:9" s="1" customFormat="1" ht="33.75" customHeight="1">
      <c r="A1" s="29" t="s">
        <v>5</v>
      </c>
      <c r="B1" s="30"/>
      <c r="C1" s="35" t="s">
        <v>6</v>
      </c>
      <c r="D1" s="36"/>
      <c r="E1" s="36"/>
      <c r="F1" s="36"/>
      <c r="G1" s="36"/>
      <c r="H1" s="36"/>
      <c r="I1" s="36"/>
    </row>
    <row r="2" spans="1:9" s="1" customFormat="1" ht="6.75" customHeight="1">
      <c r="A2" s="31"/>
      <c r="B2" s="32"/>
      <c r="C2" s="35"/>
      <c r="D2" s="36"/>
      <c r="E2" s="36"/>
      <c r="F2" s="36"/>
      <c r="G2" s="36"/>
      <c r="H2" s="36"/>
      <c r="I2" s="36"/>
    </row>
    <row r="3" spans="1:9" s="1" customFormat="1" ht="33.75" customHeight="1">
      <c r="A3" s="33"/>
      <c r="B3" s="34"/>
      <c r="C3" s="35"/>
      <c r="D3" s="36"/>
      <c r="E3" s="36"/>
      <c r="F3" s="36"/>
      <c r="G3" s="36"/>
      <c r="H3" s="36"/>
      <c r="I3" s="36"/>
    </row>
    <row r="4" spans="1:9" s="1" customFormat="1" ht="9" customHeight="1"/>
    <row r="5" spans="1:9" ht="11.25" customHeight="1"/>
    <row r="6" spans="1:9" ht="38.25" customHeight="1"/>
    <row r="7" spans="1:9" ht="12"/>
    <row r="8" spans="1:9" ht="12"/>
    <row r="21" spans="4:8" ht="19.5" customHeight="1"/>
    <row r="22" spans="4:8" ht="12.75" thickBot="1"/>
    <row r="23" spans="4:8" ht="15.75" customHeight="1" thickBot="1">
      <c r="F23" s="27" t="s">
        <v>7</v>
      </c>
      <c r="G23" s="28"/>
    </row>
    <row r="24" spans="4:8" ht="15.75" customHeight="1" thickBot="1">
      <c r="D24" s="3" t="s">
        <v>8</v>
      </c>
      <c r="E24" s="4" t="s">
        <v>9</v>
      </c>
      <c r="F24" s="4" t="s">
        <v>10</v>
      </c>
      <c r="G24" s="4" t="s">
        <v>11</v>
      </c>
      <c r="H24" s="15" t="s">
        <v>12</v>
      </c>
    </row>
    <row r="25" spans="4:8" ht="15.75" customHeight="1">
      <c r="D25" s="19" t="s">
        <v>13</v>
      </c>
      <c r="E25" s="20">
        <v>77</v>
      </c>
      <c r="F25" s="20"/>
      <c r="G25" s="21"/>
      <c r="H25" s="22"/>
    </row>
    <row r="26" spans="4:8" ht="15.75" customHeight="1">
      <c r="D26" s="5" t="s">
        <v>14</v>
      </c>
      <c r="E26" s="6">
        <v>75</v>
      </c>
      <c r="F26" s="6">
        <v>3</v>
      </c>
      <c r="G26" s="7">
        <v>3</v>
      </c>
      <c r="H26" s="16">
        <f>((F26+G26)/2)/216</f>
        <v>1.3888888888888888E-2</v>
      </c>
    </row>
    <row r="27" spans="4:8" ht="15.75" customHeight="1">
      <c r="D27" s="8" t="s">
        <v>15</v>
      </c>
      <c r="E27" s="9">
        <v>76</v>
      </c>
      <c r="F27" s="9">
        <v>5</v>
      </c>
      <c r="G27" s="10">
        <v>4</v>
      </c>
      <c r="H27" s="16">
        <f>((F27+G27)/2)/E26</f>
        <v>0.06</v>
      </c>
    </row>
    <row r="28" spans="4:8" ht="15.75" customHeight="1">
      <c r="D28" s="11" t="s">
        <v>16</v>
      </c>
      <c r="E28" s="9">
        <v>73</v>
      </c>
      <c r="F28" s="9">
        <v>2</v>
      </c>
      <c r="G28" s="10">
        <v>5</v>
      </c>
      <c r="H28" s="16">
        <f t="shared" ref="H28:H37" si="0">((F28+G28)/2)/E27</f>
        <v>4.6052631578947366E-2</v>
      </c>
    </row>
    <row r="29" spans="4:8" ht="15.75" customHeight="1">
      <c r="D29" s="12" t="s">
        <v>17</v>
      </c>
      <c r="E29" s="9">
        <v>70</v>
      </c>
      <c r="F29" s="9">
        <v>1</v>
      </c>
      <c r="G29" s="10">
        <v>4</v>
      </c>
      <c r="H29" s="16">
        <f t="shared" si="0"/>
        <v>3.4246575342465752E-2</v>
      </c>
    </row>
    <row r="30" spans="4:8" ht="15.75" customHeight="1">
      <c r="D30" s="8" t="s">
        <v>18</v>
      </c>
      <c r="E30" s="9">
        <v>68</v>
      </c>
      <c r="F30" s="9">
        <v>5</v>
      </c>
      <c r="G30" s="10">
        <v>3</v>
      </c>
      <c r="H30" s="16">
        <f t="shared" si="0"/>
        <v>5.7142857142857141E-2</v>
      </c>
    </row>
    <row r="31" spans="4:8" ht="15.75" customHeight="1">
      <c r="D31" s="11" t="s">
        <v>19</v>
      </c>
      <c r="E31" s="9">
        <v>68</v>
      </c>
      <c r="F31" s="9">
        <v>5</v>
      </c>
      <c r="G31" s="10">
        <v>3</v>
      </c>
      <c r="H31" s="16">
        <f t="shared" si="0"/>
        <v>5.8823529411764705E-2</v>
      </c>
    </row>
    <row r="32" spans="4:8" ht="15.75" customHeight="1">
      <c r="D32" s="12" t="s">
        <v>20</v>
      </c>
      <c r="E32" s="9">
        <v>68</v>
      </c>
      <c r="F32" s="9">
        <v>5</v>
      </c>
      <c r="G32" s="10">
        <v>5</v>
      </c>
      <c r="H32" s="16">
        <f t="shared" si="0"/>
        <v>7.3529411764705885E-2</v>
      </c>
    </row>
    <row r="33" spans="4:8" ht="15.75" customHeight="1">
      <c r="D33" s="8" t="s">
        <v>21</v>
      </c>
      <c r="E33" s="9">
        <v>69</v>
      </c>
      <c r="F33" s="9">
        <v>6</v>
      </c>
      <c r="G33" s="10">
        <v>5</v>
      </c>
      <c r="H33" s="16">
        <f t="shared" si="0"/>
        <v>8.0882352941176475E-2</v>
      </c>
    </row>
    <row r="34" spans="4:8" ht="15.75" customHeight="1">
      <c r="D34" s="11" t="s">
        <v>22</v>
      </c>
      <c r="E34" s="9"/>
      <c r="F34" s="9"/>
      <c r="G34" s="10"/>
      <c r="H34" s="16">
        <f t="shared" si="0"/>
        <v>0</v>
      </c>
    </row>
    <row r="35" spans="4:8" ht="15.75" customHeight="1">
      <c r="D35" s="12" t="s">
        <v>23</v>
      </c>
      <c r="E35" s="9"/>
      <c r="F35" s="9"/>
      <c r="G35" s="10"/>
      <c r="H35" s="16" t="e">
        <f t="shared" si="0"/>
        <v>#DIV/0!</v>
      </c>
    </row>
    <row r="36" spans="4:8" ht="15.75" customHeight="1">
      <c r="D36" s="8" t="s">
        <v>24</v>
      </c>
      <c r="E36" s="9"/>
      <c r="F36" s="9"/>
      <c r="G36" s="10"/>
      <c r="H36" s="16" t="e">
        <f t="shared" si="0"/>
        <v>#DIV/0!</v>
      </c>
    </row>
    <row r="37" spans="4:8" ht="15.75" customHeight="1" thickBot="1">
      <c r="D37" s="13" t="s">
        <v>13</v>
      </c>
      <c r="E37" s="14"/>
      <c r="F37" s="14"/>
      <c r="G37" s="23"/>
      <c r="H37" s="24" t="e">
        <f t="shared" si="0"/>
        <v>#DIV/0!</v>
      </c>
    </row>
    <row r="38" spans="4:8" ht="19.5" customHeight="1">
      <c r="G38" s="17" t="s">
        <v>25</v>
      </c>
      <c r="H38" s="18" t="e">
        <f>SUM(H26:H37)</f>
        <v>#DIV/0!</v>
      </c>
    </row>
  </sheetData>
  <mergeCells count="3">
    <mergeCell ref="A1:B3"/>
    <mergeCell ref="C1:I3"/>
    <mergeCell ref="F23:G23"/>
  </mergeCells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3C8A1-FB6B-4360-82F4-93FCE431843F}">
  <dimension ref="A1:I38"/>
  <sheetViews>
    <sheetView topLeftCell="A14" workbookViewId="0">
      <selection activeCell="E30" sqref="E30"/>
    </sheetView>
  </sheetViews>
  <sheetFormatPr defaultColWidth="14.42578125" defaultRowHeight="15.75" customHeight="1"/>
  <cols>
    <col min="1" max="1" width="26.5703125" style="1" customWidth="1"/>
    <col min="2" max="2" width="2.28515625" style="2" customWidth="1"/>
    <col min="3" max="3" width="16.42578125" style="2" customWidth="1"/>
    <col min="4" max="8" width="29" style="2" customWidth="1"/>
    <col min="9" max="9" width="18.85546875" style="2" customWidth="1"/>
    <col min="10" max="10" width="26.42578125" style="2" customWidth="1"/>
    <col min="11" max="16384" width="14.42578125" style="2"/>
  </cols>
  <sheetData>
    <row r="1" spans="1:9" s="1" customFormat="1" ht="33.75" customHeight="1">
      <c r="A1" s="29" t="s">
        <v>5</v>
      </c>
      <c r="B1" s="30"/>
      <c r="C1" s="35" t="s">
        <v>6</v>
      </c>
      <c r="D1" s="36"/>
      <c r="E1" s="36"/>
      <c r="F1" s="36"/>
      <c r="G1" s="36"/>
      <c r="H1" s="36"/>
      <c r="I1" s="36"/>
    </row>
    <row r="2" spans="1:9" s="1" customFormat="1" ht="6.75" customHeight="1">
      <c r="A2" s="31"/>
      <c r="B2" s="32"/>
      <c r="C2" s="35"/>
      <c r="D2" s="36"/>
      <c r="E2" s="36"/>
      <c r="F2" s="36"/>
      <c r="G2" s="36"/>
      <c r="H2" s="36"/>
      <c r="I2" s="36"/>
    </row>
    <row r="3" spans="1:9" s="1" customFormat="1" ht="33.75" customHeight="1">
      <c r="A3" s="33"/>
      <c r="B3" s="34"/>
      <c r="C3" s="35"/>
      <c r="D3" s="36"/>
      <c r="E3" s="36"/>
      <c r="F3" s="36"/>
      <c r="G3" s="36"/>
      <c r="H3" s="36"/>
      <c r="I3" s="36"/>
    </row>
    <row r="4" spans="1:9" s="1" customFormat="1" ht="9" customHeight="1"/>
    <row r="5" spans="1:9" ht="11.25" customHeight="1"/>
    <row r="6" spans="1:9" ht="38.25" customHeight="1"/>
    <row r="7" spans="1:9" ht="12"/>
    <row r="8" spans="1:9" ht="12"/>
    <row r="21" spans="4:8" ht="19.5" customHeight="1"/>
    <row r="22" spans="4:8" ht="12.75" thickBot="1"/>
    <row r="23" spans="4:8" ht="15.75" customHeight="1" thickBot="1">
      <c r="F23" s="27" t="s">
        <v>7</v>
      </c>
      <c r="G23" s="28"/>
    </row>
    <row r="24" spans="4:8" ht="15.75" customHeight="1" thickBot="1">
      <c r="D24" s="3" t="s">
        <v>8</v>
      </c>
      <c r="E24" s="4" t="s">
        <v>9</v>
      </c>
      <c r="F24" s="4" t="s">
        <v>10</v>
      </c>
      <c r="G24" s="4" t="s">
        <v>11</v>
      </c>
      <c r="H24" s="15" t="s">
        <v>12</v>
      </c>
    </row>
    <row r="25" spans="4:8" ht="15.75" customHeight="1">
      <c r="D25" s="19" t="s">
        <v>13</v>
      </c>
      <c r="E25" s="20">
        <v>76</v>
      </c>
      <c r="F25" s="20"/>
      <c r="G25" s="21"/>
      <c r="H25" s="22"/>
    </row>
    <row r="26" spans="4:8" ht="15.75" customHeight="1">
      <c r="D26" s="5" t="s">
        <v>14</v>
      </c>
      <c r="E26" s="6">
        <v>22</v>
      </c>
      <c r="F26" s="6">
        <v>1</v>
      </c>
      <c r="G26" s="7">
        <v>15</v>
      </c>
      <c r="H26" s="16">
        <f>((F26+G26)/2)/216</f>
        <v>3.7037037037037035E-2</v>
      </c>
    </row>
    <row r="27" spans="4:8" ht="15.75" customHeight="1">
      <c r="D27" s="8" t="s">
        <v>15</v>
      </c>
      <c r="E27" s="9">
        <v>8</v>
      </c>
      <c r="F27" s="9">
        <v>0</v>
      </c>
      <c r="G27" s="10">
        <v>3</v>
      </c>
      <c r="H27" s="16">
        <f>((F27+G27)/2)/E26</f>
        <v>6.8181818181818177E-2</v>
      </c>
    </row>
    <row r="28" spans="4:8" ht="15.75" customHeight="1">
      <c r="D28" s="11" t="s">
        <v>16</v>
      </c>
      <c r="E28" s="9">
        <v>6</v>
      </c>
      <c r="F28" s="9">
        <v>0</v>
      </c>
      <c r="G28" s="10">
        <v>1</v>
      </c>
      <c r="H28" s="16">
        <f t="shared" ref="H28:H37" si="0">((F28+G28)/2)/E27</f>
        <v>6.25E-2</v>
      </c>
    </row>
    <row r="29" spans="4:8" ht="15.75" customHeight="1">
      <c r="D29" s="12" t="s">
        <v>17</v>
      </c>
      <c r="E29" s="9">
        <v>5</v>
      </c>
      <c r="F29" s="9">
        <v>0</v>
      </c>
      <c r="G29" s="10">
        <v>1</v>
      </c>
      <c r="H29" s="16">
        <f t="shared" si="0"/>
        <v>8.3333333333333329E-2</v>
      </c>
    </row>
    <row r="30" spans="4:8" ht="15.75" customHeight="1">
      <c r="D30" s="8" t="s">
        <v>18</v>
      </c>
      <c r="E30" s="9">
        <v>5</v>
      </c>
      <c r="F30" s="9">
        <v>1</v>
      </c>
      <c r="G30" s="10">
        <v>0</v>
      </c>
      <c r="H30" s="16">
        <f t="shared" si="0"/>
        <v>0.1</v>
      </c>
    </row>
    <row r="31" spans="4:8" ht="15.75" customHeight="1">
      <c r="D31" s="11" t="s">
        <v>19</v>
      </c>
      <c r="E31" s="9">
        <v>5</v>
      </c>
      <c r="F31" s="9">
        <v>0</v>
      </c>
      <c r="G31" s="10">
        <v>0</v>
      </c>
      <c r="H31" s="16">
        <f t="shared" si="0"/>
        <v>0</v>
      </c>
    </row>
    <row r="32" spans="4:8" ht="15.75" customHeight="1">
      <c r="D32" s="12" t="s">
        <v>20</v>
      </c>
      <c r="E32" s="9">
        <v>5</v>
      </c>
      <c r="F32" s="9">
        <v>0</v>
      </c>
      <c r="G32" s="10">
        <v>0</v>
      </c>
      <c r="H32" s="16">
        <f t="shared" si="0"/>
        <v>0</v>
      </c>
    </row>
    <row r="33" spans="4:8" ht="15.75" customHeight="1">
      <c r="D33" s="8" t="s">
        <v>21</v>
      </c>
      <c r="E33" s="9">
        <v>5</v>
      </c>
      <c r="F33" s="9">
        <v>0</v>
      </c>
      <c r="G33" s="10">
        <v>0</v>
      </c>
      <c r="H33" s="16">
        <f t="shared" si="0"/>
        <v>0</v>
      </c>
    </row>
    <row r="34" spans="4:8" ht="15.75" customHeight="1">
      <c r="D34" s="11" t="s">
        <v>22</v>
      </c>
      <c r="E34" s="9"/>
      <c r="F34" s="9"/>
      <c r="G34" s="10"/>
      <c r="H34" s="16">
        <f t="shared" si="0"/>
        <v>0</v>
      </c>
    </row>
    <row r="35" spans="4:8" ht="15.75" customHeight="1">
      <c r="D35" s="12" t="s">
        <v>23</v>
      </c>
      <c r="E35" s="9"/>
      <c r="F35" s="9"/>
      <c r="G35" s="10"/>
      <c r="H35" s="16" t="e">
        <f t="shared" si="0"/>
        <v>#DIV/0!</v>
      </c>
    </row>
    <row r="36" spans="4:8" ht="15.75" customHeight="1">
      <c r="D36" s="8" t="s">
        <v>24</v>
      </c>
      <c r="E36" s="9"/>
      <c r="F36" s="9"/>
      <c r="G36" s="10"/>
      <c r="H36" s="16" t="e">
        <f t="shared" si="0"/>
        <v>#DIV/0!</v>
      </c>
    </row>
    <row r="37" spans="4:8" ht="15.75" customHeight="1" thickBot="1">
      <c r="D37" s="13" t="s">
        <v>13</v>
      </c>
      <c r="E37" s="14"/>
      <c r="F37" s="14"/>
      <c r="G37" s="23"/>
      <c r="H37" s="24" t="e">
        <f t="shared" si="0"/>
        <v>#DIV/0!</v>
      </c>
    </row>
    <row r="38" spans="4:8" ht="19.5" customHeight="1">
      <c r="G38" s="17" t="s">
        <v>25</v>
      </c>
      <c r="H38" s="18" t="e">
        <f>SUM(H26:H37)</f>
        <v>#DIV/0!</v>
      </c>
    </row>
  </sheetData>
  <mergeCells count="3">
    <mergeCell ref="A1:B3"/>
    <mergeCell ref="C1:I3"/>
    <mergeCell ref="F23:G23"/>
  </mergeCells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E5D57-DD62-4C8B-8B18-FD26D3503BE7}">
  <dimension ref="A1:I38"/>
  <sheetViews>
    <sheetView topLeftCell="A7" workbookViewId="0">
      <selection activeCell="E32" sqref="E32"/>
    </sheetView>
  </sheetViews>
  <sheetFormatPr defaultColWidth="14.42578125" defaultRowHeight="15.75" customHeight="1"/>
  <cols>
    <col min="1" max="1" width="26.5703125" style="1" customWidth="1"/>
    <col min="2" max="2" width="2.28515625" style="2" customWidth="1"/>
    <col min="3" max="3" width="16.42578125" style="2" customWidth="1"/>
    <col min="4" max="8" width="29" style="2" customWidth="1"/>
    <col min="9" max="9" width="18.85546875" style="2" customWidth="1"/>
    <col min="10" max="10" width="26.42578125" style="2" customWidth="1"/>
    <col min="11" max="16384" width="14.42578125" style="2"/>
  </cols>
  <sheetData>
    <row r="1" spans="1:9" s="1" customFormat="1" ht="33.75" customHeight="1">
      <c r="A1" s="29" t="s">
        <v>5</v>
      </c>
      <c r="B1" s="30"/>
      <c r="C1" s="35" t="s">
        <v>6</v>
      </c>
      <c r="D1" s="36"/>
      <c r="E1" s="36"/>
      <c r="F1" s="36"/>
      <c r="G1" s="36"/>
      <c r="H1" s="36"/>
      <c r="I1" s="36"/>
    </row>
    <row r="2" spans="1:9" s="1" customFormat="1" ht="6.75" customHeight="1">
      <c r="A2" s="31"/>
      <c r="B2" s="32"/>
      <c r="C2" s="35"/>
      <c r="D2" s="36"/>
      <c r="E2" s="36"/>
      <c r="F2" s="36"/>
      <c r="G2" s="36"/>
      <c r="H2" s="36"/>
      <c r="I2" s="36"/>
    </row>
    <row r="3" spans="1:9" s="1" customFormat="1" ht="33.75" customHeight="1">
      <c r="A3" s="33"/>
      <c r="B3" s="34"/>
      <c r="C3" s="35"/>
      <c r="D3" s="36"/>
      <c r="E3" s="36"/>
      <c r="F3" s="36"/>
      <c r="G3" s="36"/>
      <c r="H3" s="36"/>
      <c r="I3" s="36"/>
    </row>
    <row r="4" spans="1:9" s="1" customFormat="1" ht="9" customHeight="1"/>
    <row r="5" spans="1:9" ht="11.25" customHeight="1"/>
    <row r="6" spans="1:9" ht="38.25" customHeight="1"/>
    <row r="7" spans="1:9" ht="12"/>
    <row r="8" spans="1:9" ht="12"/>
    <row r="21" spans="4:8" ht="19.5" customHeight="1"/>
    <row r="22" spans="4:8" ht="12.75" thickBot="1"/>
    <row r="23" spans="4:8" ht="15.75" customHeight="1" thickBot="1">
      <c r="F23" s="27" t="s">
        <v>7</v>
      </c>
      <c r="G23" s="28"/>
    </row>
    <row r="24" spans="4:8" ht="15.75" customHeight="1" thickBot="1">
      <c r="D24" s="3" t="s">
        <v>8</v>
      </c>
      <c r="E24" s="4" t="s">
        <v>9</v>
      </c>
      <c r="F24" s="4" t="s">
        <v>10</v>
      </c>
      <c r="G24" s="4" t="s">
        <v>11</v>
      </c>
      <c r="H24" s="15" t="s">
        <v>12</v>
      </c>
    </row>
    <row r="25" spans="4:8" ht="15.75" customHeight="1">
      <c r="D25" s="19" t="s">
        <v>13</v>
      </c>
      <c r="E25" s="20">
        <v>7</v>
      </c>
      <c r="F25" s="20"/>
      <c r="G25" s="21"/>
      <c r="H25" s="22"/>
    </row>
    <row r="26" spans="4:8" ht="15.75" customHeight="1">
      <c r="D26" s="5" t="s">
        <v>14</v>
      </c>
      <c r="E26" s="6">
        <v>7</v>
      </c>
      <c r="F26" s="6">
        <v>0</v>
      </c>
      <c r="G26" s="7">
        <v>0</v>
      </c>
      <c r="H26" s="16">
        <f>((F26+G26)/2)/216</f>
        <v>0</v>
      </c>
    </row>
    <row r="27" spans="4:8" ht="15.75" customHeight="1">
      <c r="D27" s="8" t="s">
        <v>15</v>
      </c>
      <c r="E27" s="9">
        <v>7</v>
      </c>
      <c r="F27" s="9">
        <v>0</v>
      </c>
      <c r="G27" s="10">
        <v>0</v>
      </c>
      <c r="H27" s="16">
        <f>((F27+G27)/2)/E26</f>
        <v>0</v>
      </c>
    </row>
    <row r="28" spans="4:8" ht="15.75" customHeight="1">
      <c r="D28" s="11" t="s">
        <v>16</v>
      </c>
      <c r="E28" s="9">
        <v>7</v>
      </c>
      <c r="F28" s="9">
        <v>0</v>
      </c>
      <c r="G28" s="10">
        <v>0</v>
      </c>
      <c r="H28" s="16">
        <f t="shared" ref="H28:H37" si="0">((F28+G28)/2)/E27</f>
        <v>0</v>
      </c>
    </row>
    <row r="29" spans="4:8" ht="15.75" customHeight="1">
      <c r="D29" s="12" t="s">
        <v>17</v>
      </c>
      <c r="E29" s="9">
        <v>7</v>
      </c>
      <c r="F29" s="9">
        <v>0</v>
      </c>
      <c r="G29" s="10">
        <v>1</v>
      </c>
      <c r="H29" s="16">
        <f t="shared" si="0"/>
        <v>7.1428571428571425E-2</v>
      </c>
    </row>
    <row r="30" spans="4:8" ht="15.75" customHeight="1">
      <c r="D30" s="8" t="s">
        <v>18</v>
      </c>
      <c r="E30" s="9">
        <v>6</v>
      </c>
      <c r="F30" s="9">
        <v>0</v>
      </c>
      <c r="G30" s="10">
        <v>1</v>
      </c>
      <c r="H30" s="16">
        <f t="shared" si="0"/>
        <v>7.1428571428571425E-2</v>
      </c>
    </row>
    <row r="31" spans="4:8" ht="15.75" customHeight="1">
      <c r="D31" s="11" t="s">
        <v>19</v>
      </c>
      <c r="E31" s="9">
        <v>5</v>
      </c>
      <c r="F31" s="9">
        <v>0</v>
      </c>
      <c r="G31" s="10">
        <v>0</v>
      </c>
      <c r="H31" s="16">
        <f t="shared" si="0"/>
        <v>0</v>
      </c>
    </row>
    <row r="32" spans="4:8" ht="15.75" customHeight="1">
      <c r="D32" s="12" t="s">
        <v>20</v>
      </c>
      <c r="E32" s="9">
        <v>5</v>
      </c>
      <c r="F32" s="9">
        <v>0</v>
      </c>
      <c r="G32" s="10">
        <v>0</v>
      </c>
      <c r="H32" s="16">
        <f t="shared" si="0"/>
        <v>0</v>
      </c>
    </row>
    <row r="33" spans="4:8" ht="15.75" customHeight="1">
      <c r="D33" s="8" t="s">
        <v>21</v>
      </c>
      <c r="E33" s="9">
        <v>5</v>
      </c>
      <c r="F33" s="9">
        <v>0</v>
      </c>
      <c r="G33" s="10">
        <v>0</v>
      </c>
      <c r="H33" s="16">
        <f t="shared" si="0"/>
        <v>0</v>
      </c>
    </row>
    <row r="34" spans="4:8" ht="15.75" customHeight="1">
      <c r="D34" s="11" t="s">
        <v>22</v>
      </c>
      <c r="E34" s="9"/>
      <c r="F34" s="9"/>
      <c r="G34" s="10"/>
      <c r="H34" s="16">
        <f t="shared" si="0"/>
        <v>0</v>
      </c>
    </row>
    <row r="35" spans="4:8" ht="15.75" customHeight="1">
      <c r="D35" s="12" t="s">
        <v>23</v>
      </c>
      <c r="E35" s="9"/>
      <c r="F35" s="9"/>
      <c r="G35" s="10"/>
      <c r="H35" s="16" t="e">
        <f t="shared" si="0"/>
        <v>#DIV/0!</v>
      </c>
    </row>
    <row r="36" spans="4:8" ht="15.75" customHeight="1">
      <c r="D36" s="8" t="s">
        <v>24</v>
      </c>
      <c r="E36" s="9"/>
      <c r="F36" s="9"/>
      <c r="G36" s="10"/>
      <c r="H36" s="16" t="e">
        <f t="shared" si="0"/>
        <v>#DIV/0!</v>
      </c>
    </row>
    <row r="37" spans="4:8" ht="15.75" customHeight="1" thickBot="1">
      <c r="D37" s="13" t="s">
        <v>13</v>
      </c>
      <c r="E37" s="14"/>
      <c r="F37" s="14"/>
      <c r="G37" s="23"/>
      <c r="H37" s="24" t="e">
        <f t="shared" si="0"/>
        <v>#DIV/0!</v>
      </c>
    </row>
    <row r="38" spans="4:8" ht="19.5" customHeight="1">
      <c r="G38" s="17" t="s">
        <v>25</v>
      </c>
      <c r="H38" s="18" t="e">
        <f>SUM(H26:H37)</f>
        <v>#DIV/0!</v>
      </c>
    </row>
  </sheetData>
  <mergeCells count="3">
    <mergeCell ref="A1:B3"/>
    <mergeCell ref="C1:I3"/>
    <mergeCell ref="F23:G23"/>
  </mergeCells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57E02DB-A0C5-48FE-AD30-4E772C49D3F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Lista</vt:lpstr>
      <vt:lpstr>TURNOVER GLOBAL-2025</vt:lpstr>
      <vt:lpstr>LUBE ES</vt:lpstr>
      <vt:lpstr>LUBE RJ</vt:lpstr>
      <vt:lpstr>LLOG</vt:lpstr>
      <vt:lpstr>IMPERIO </vt:lpstr>
      <vt:lpstr>SERMAR</vt:lpstr>
      <vt:lpstr>InterExter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Lube Distribuidora</cp:lastModifiedBy>
  <cp:lastPrinted>2026-05-27T19:06:28Z</cp:lastPrinted>
  <dcterms:created xsi:type="dcterms:W3CDTF">2020-03-18T16:09:00Z</dcterms:created>
  <dcterms:modified xsi:type="dcterms:W3CDTF">2026-08-31T13:57:27Z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AF3EB2D826EE4178A4F1A075AAFD0B4A_12</vt:lpwstr>
  </property>
  <property fmtid="{D5CDD505-2E9C-101B-9397-08002B2CF9AE}" pid="3" name="KSOProductBuildVer">
    <vt:lpwstr>1046-12.2.0.23196</vt:lpwstr>
  </property>
</Properties>
</file>