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Z:\Aurea\"/>
    </mc:Choice>
  </mc:AlternateContent>
  <xr:revisionPtr revIDLastSave="0" documentId="14_{DF24F285-1038-4EBD-A114-E87FCDC476AC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HEAD ATUAL" sheetId="1" r:id="rId1"/>
    <sheet name="HEAD PROGRAMADO" sheetId="2" r:id="rId2"/>
    <sheet name="ANÁLISE HEAD" sheetId="3" r:id="rId3"/>
    <sheet name="ANÁLISE POR FUNÇÃO" sheetId="4" r:id="rId4"/>
  </sheets>
  <definedNames>
    <definedName name="_xlnm._FilterDatabase" localSheetId="2" hidden="1">'ANÁLISE HEAD'!$A$6:$H$20</definedName>
    <definedName name="_xlnm._FilterDatabase" localSheetId="3" hidden="1">'ANÁLISE POR FUNÇÃO'!$A$5:$J$75</definedName>
    <definedName name="_xlnm._FilterDatabase" localSheetId="0" hidden="1">'HEAD ATUAL'!$A$23:$F$227</definedName>
    <definedName name="_xlnm._FilterDatabase" localSheetId="1" hidden="1">'HEAD PROGRAMADO'!$A$5:$F$75</definedName>
  </definedNames>
  <calcPr calcId="191029" iterateCount="1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5" i="4" l="1"/>
  <c r="D75" i="4"/>
  <c r="C75" i="4"/>
  <c r="B75" i="4"/>
  <c r="A75" i="4"/>
  <c r="E74" i="4"/>
  <c r="D74" i="4"/>
  <c r="C74" i="4"/>
  <c r="B74" i="4"/>
  <c r="A74" i="4"/>
  <c r="E73" i="4"/>
  <c r="D73" i="4"/>
  <c r="C73" i="4"/>
  <c r="B73" i="4"/>
  <c r="A73" i="4"/>
  <c r="E72" i="4"/>
  <c r="D72" i="4"/>
  <c r="C72" i="4"/>
  <c r="B72" i="4"/>
  <c r="A72" i="4"/>
  <c r="E71" i="4"/>
  <c r="D71" i="4"/>
  <c r="C71" i="4"/>
  <c r="B71" i="4"/>
  <c r="A71" i="4"/>
  <c r="E70" i="4"/>
  <c r="D70" i="4"/>
  <c r="C70" i="4"/>
  <c r="B70" i="4"/>
  <c r="A70" i="4"/>
  <c r="E69" i="4"/>
  <c r="D69" i="4"/>
  <c r="C69" i="4"/>
  <c r="B69" i="4"/>
  <c r="A69" i="4"/>
  <c r="E68" i="4"/>
  <c r="D68" i="4"/>
  <c r="C68" i="4"/>
  <c r="B68" i="4"/>
  <c r="A68" i="4"/>
  <c r="E67" i="4"/>
  <c r="D67" i="4"/>
  <c r="C67" i="4"/>
  <c r="B67" i="4"/>
  <c r="A67" i="4"/>
  <c r="E66" i="4"/>
  <c r="D66" i="4"/>
  <c r="C66" i="4"/>
  <c r="B66" i="4"/>
  <c r="A66" i="4"/>
  <c r="E65" i="4"/>
  <c r="D65" i="4"/>
  <c r="C65" i="4"/>
  <c r="B65" i="4"/>
  <c r="A65" i="4"/>
  <c r="E64" i="4"/>
  <c r="D64" i="4"/>
  <c r="C64" i="4"/>
  <c r="B64" i="4"/>
  <c r="A64" i="4"/>
  <c r="E63" i="4"/>
  <c r="D63" i="4"/>
  <c r="C63" i="4"/>
  <c r="B63" i="4"/>
  <c r="A63" i="4"/>
  <c r="E62" i="4"/>
  <c r="D62" i="4"/>
  <c r="C62" i="4"/>
  <c r="B62" i="4"/>
  <c r="A62" i="4"/>
  <c r="E61" i="4"/>
  <c r="D61" i="4"/>
  <c r="C61" i="4"/>
  <c r="B61" i="4"/>
  <c r="A61" i="4"/>
  <c r="E60" i="4"/>
  <c r="D60" i="4"/>
  <c r="C60" i="4"/>
  <c r="B60" i="4"/>
  <c r="A60" i="4"/>
  <c r="E59" i="4"/>
  <c r="D59" i="4"/>
  <c r="C59" i="4"/>
  <c r="B59" i="4"/>
  <c r="A59" i="4"/>
  <c r="E58" i="4"/>
  <c r="D58" i="4"/>
  <c r="C58" i="4"/>
  <c r="B58" i="4"/>
  <c r="A58" i="4"/>
  <c r="E57" i="4"/>
  <c r="D57" i="4"/>
  <c r="C57" i="4"/>
  <c r="B57" i="4"/>
  <c r="A57" i="4"/>
  <c r="E56" i="4"/>
  <c r="D56" i="4"/>
  <c r="C56" i="4"/>
  <c r="B56" i="4"/>
  <c r="A56" i="4"/>
  <c r="E55" i="4"/>
  <c r="D55" i="4"/>
  <c r="C55" i="4"/>
  <c r="B55" i="4"/>
  <c r="A55" i="4"/>
  <c r="E54" i="4"/>
  <c r="D54" i="4"/>
  <c r="C54" i="4"/>
  <c r="B54" i="4"/>
  <c r="A54" i="4"/>
  <c r="E53" i="4"/>
  <c r="D53" i="4"/>
  <c r="C53" i="4"/>
  <c r="B53" i="4"/>
  <c r="A53" i="4"/>
  <c r="E52" i="4"/>
  <c r="D52" i="4"/>
  <c r="C52" i="4"/>
  <c r="B52" i="4"/>
  <c r="A52" i="4"/>
  <c r="E51" i="4"/>
  <c r="D51" i="4"/>
  <c r="C51" i="4"/>
  <c r="B51" i="4"/>
  <c r="A51" i="4"/>
  <c r="E50" i="4"/>
  <c r="D50" i="4"/>
  <c r="C50" i="4"/>
  <c r="B50" i="4"/>
  <c r="A50" i="4"/>
  <c r="E49" i="4"/>
  <c r="D49" i="4"/>
  <c r="C49" i="4"/>
  <c r="B49" i="4"/>
  <c r="A49" i="4"/>
  <c r="E48" i="4"/>
  <c r="D48" i="4"/>
  <c r="C48" i="4"/>
  <c r="B48" i="4"/>
  <c r="A48" i="4"/>
  <c r="E47" i="4"/>
  <c r="D47" i="4"/>
  <c r="C47" i="4"/>
  <c r="B47" i="4"/>
  <c r="A47" i="4"/>
  <c r="E46" i="4"/>
  <c r="D46" i="4"/>
  <c r="C46" i="4"/>
  <c r="B46" i="4"/>
  <c r="A46" i="4"/>
  <c r="E45" i="4"/>
  <c r="D45" i="4"/>
  <c r="C45" i="4"/>
  <c r="B45" i="4"/>
  <c r="A45" i="4"/>
  <c r="E44" i="4"/>
  <c r="D44" i="4"/>
  <c r="C44" i="4"/>
  <c r="B44" i="4"/>
  <c r="A44" i="4"/>
  <c r="E43" i="4"/>
  <c r="D43" i="4"/>
  <c r="C43" i="4"/>
  <c r="B43" i="4"/>
  <c r="A43" i="4"/>
  <c r="E42" i="4"/>
  <c r="D42" i="4"/>
  <c r="C42" i="4"/>
  <c r="B42" i="4"/>
  <c r="A42" i="4"/>
  <c r="E41" i="4"/>
  <c r="D41" i="4"/>
  <c r="C41" i="4"/>
  <c r="B41" i="4"/>
  <c r="A41" i="4"/>
  <c r="E40" i="4"/>
  <c r="D40" i="4"/>
  <c r="C40" i="4"/>
  <c r="B40" i="4"/>
  <c r="A40" i="4"/>
  <c r="E39" i="4"/>
  <c r="D39" i="4"/>
  <c r="C39" i="4"/>
  <c r="B39" i="4"/>
  <c r="A39" i="4"/>
  <c r="E38" i="4"/>
  <c r="D38" i="4"/>
  <c r="C38" i="4"/>
  <c r="B38" i="4"/>
  <c r="A38" i="4"/>
  <c r="E37" i="4"/>
  <c r="D37" i="4"/>
  <c r="C37" i="4"/>
  <c r="B37" i="4"/>
  <c r="A37" i="4"/>
  <c r="E36" i="4"/>
  <c r="D36" i="4"/>
  <c r="C36" i="4"/>
  <c r="B36" i="4"/>
  <c r="A36" i="4"/>
  <c r="E35" i="4"/>
  <c r="D35" i="4"/>
  <c r="C35" i="4"/>
  <c r="B35" i="4"/>
  <c r="A35" i="4"/>
  <c r="E34" i="4"/>
  <c r="D34" i="4"/>
  <c r="C34" i="4"/>
  <c r="B34" i="4"/>
  <c r="A34" i="4"/>
  <c r="E33" i="4"/>
  <c r="D33" i="4"/>
  <c r="C33" i="4"/>
  <c r="B33" i="4"/>
  <c r="A33" i="4"/>
  <c r="E32" i="4"/>
  <c r="D32" i="4"/>
  <c r="C32" i="4"/>
  <c r="B32" i="4"/>
  <c r="A32" i="4"/>
  <c r="E31" i="4"/>
  <c r="D31" i="4"/>
  <c r="C31" i="4"/>
  <c r="B31" i="4"/>
  <c r="A31" i="4"/>
  <c r="E30" i="4"/>
  <c r="D30" i="4"/>
  <c r="C30" i="4"/>
  <c r="B30" i="4"/>
  <c r="A30" i="4"/>
  <c r="E29" i="4"/>
  <c r="D29" i="4"/>
  <c r="C29" i="4"/>
  <c r="B29" i="4"/>
  <c r="A29" i="4"/>
  <c r="E28" i="4"/>
  <c r="F28" i="4" s="1"/>
  <c r="D28" i="4"/>
  <c r="C28" i="4"/>
  <c r="B28" i="4"/>
  <c r="A28" i="4"/>
  <c r="E27" i="4"/>
  <c r="D27" i="4"/>
  <c r="C27" i="4"/>
  <c r="B27" i="4"/>
  <c r="A27" i="4"/>
  <c r="E26" i="4"/>
  <c r="D26" i="4"/>
  <c r="C26" i="4"/>
  <c r="B26" i="4"/>
  <c r="A26" i="4"/>
  <c r="E25" i="4"/>
  <c r="D25" i="4"/>
  <c r="C25" i="4"/>
  <c r="B25" i="4"/>
  <c r="A25" i="4"/>
  <c r="E24" i="4"/>
  <c r="D24" i="4"/>
  <c r="C24" i="4"/>
  <c r="B24" i="4"/>
  <c r="A24" i="4"/>
  <c r="E23" i="4"/>
  <c r="D23" i="4"/>
  <c r="C23" i="4"/>
  <c r="B23" i="4"/>
  <c r="A23" i="4"/>
  <c r="E22" i="4"/>
  <c r="D22" i="4"/>
  <c r="C22" i="4"/>
  <c r="B22" i="4"/>
  <c r="A22" i="4"/>
  <c r="E21" i="4"/>
  <c r="D21" i="4"/>
  <c r="C21" i="4"/>
  <c r="B21" i="4"/>
  <c r="A21" i="4"/>
  <c r="E20" i="4"/>
  <c r="D20" i="4"/>
  <c r="C20" i="4"/>
  <c r="B20" i="4"/>
  <c r="A20" i="4"/>
  <c r="E19" i="4"/>
  <c r="D19" i="4"/>
  <c r="C19" i="4"/>
  <c r="B19" i="4"/>
  <c r="A19" i="4"/>
  <c r="E18" i="4"/>
  <c r="D18" i="4"/>
  <c r="C18" i="4"/>
  <c r="B18" i="4"/>
  <c r="A18" i="4"/>
  <c r="E17" i="4"/>
  <c r="D17" i="4"/>
  <c r="C17" i="4"/>
  <c r="B17" i="4"/>
  <c r="A17" i="4"/>
  <c r="E16" i="4"/>
  <c r="D16" i="4"/>
  <c r="C16" i="4"/>
  <c r="B16" i="4"/>
  <c r="A16" i="4"/>
  <c r="E15" i="4"/>
  <c r="D15" i="4"/>
  <c r="C15" i="4"/>
  <c r="B15" i="4"/>
  <c r="A15" i="4"/>
  <c r="E14" i="4"/>
  <c r="D14" i="4"/>
  <c r="C14" i="4"/>
  <c r="B14" i="4"/>
  <c r="A14" i="4"/>
  <c r="E13" i="4"/>
  <c r="D13" i="4"/>
  <c r="C13" i="4"/>
  <c r="B13" i="4"/>
  <c r="A13" i="4"/>
  <c r="E12" i="4"/>
  <c r="D12" i="4"/>
  <c r="C12" i="4"/>
  <c r="B12" i="4"/>
  <c r="A12" i="4"/>
  <c r="E11" i="4"/>
  <c r="D11" i="4"/>
  <c r="C11" i="4"/>
  <c r="B11" i="4"/>
  <c r="A11" i="4"/>
  <c r="E10" i="4"/>
  <c r="D10" i="4"/>
  <c r="C10" i="4"/>
  <c r="B10" i="4"/>
  <c r="A10" i="4"/>
  <c r="E9" i="4"/>
  <c r="D9" i="4"/>
  <c r="C9" i="4"/>
  <c r="B9" i="4"/>
  <c r="A9" i="4"/>
  <c r="E8" i="4"/>
  <c r="D8" i="4"/>
  <c r="C8" i="4"/>
  <c r="B8" i="4"/>
  <c r="A8" i="4"/>
  <c r="E7" i="4"/>
  <c r="D7" i="4"/>
  <c r="C7" i="4"/>
  <c r="B7" i="4"/>
  <c r="A7" i="4"/>
  <c r="E6" i="4"/>
  <c r="D6" i="4"/>
  <c r="C6" i="4"/>
  <c r="B6" i="4"/>
  <c r="A6" i="4"/>
  <c r="C22" i="3"/>
  <c r="D20" i="3"/>
  <c r="D19" i="3"/>
  <c r="D18" i="3"/>
  <c r="D17" i="3"/>
  <c r="D16" i="3"/>
  <c r="D15" i="3"/>
  <c r="D14" i="3"/>
  <c r="D13" i="3"/>
  <c r="D12" i="3"/>
  <c r="F11" i="3"/>
  <c r="E11" i="3"/>
  <c r="G11" i="3" s="1"/>
  <c r="D10" i="3"/>
  <c r="D9" i="3"/>
  <c r="D8" i="3"/>
  <c r="D7" i="3"/>
  <c r="F75" i="4" l="1"/>
  <c r="G75" i="4"/>
  <c r="H75" i="4"/>
  <c r="F74" i="4"/>
  <c r="H74" i="4"/>
  <c r="G74" i="4"/>
  <c r="F73" i="4"/>
  <c r="G72" i="4"/>
  <c r="F72" i="4"/>
  <c r="H72" i="4" s="1"/>
  <c r="F71" i="4"/>
  <c r="F70" i="4"/>
  <c r="F69" i="4"/>
  <c r="F68" i="4"/>
  <c r="F67" i="4"/>
  <c r="F66" i="4"/>
  <c r="F65" i="4"/>
  <c r="F64" i="4"/>
  <c r="F63" i="4"/>
  <c r="H63" i="4" s="1"/>
  <c r="G63" i="4"/>
  <c r="F62" i="4"/>
  <c r="F61" i="4"/>
  <c r="F60" i="4"/>
  <c r="F59" i="4"/>
  <c r="F58" i="4"/>
  <c r="H58" i="4"/>
  <c r="G58" i="4"/>
  <c r="F57" i="4"/>
  <c r="G57" i="4" s="1"/>
  <c r="H57" i="4"/>
  <c r="F56" i="4"/>
  <c r="F55" i="4"/>
  <c r="F54" i="4"/>
  <c r="F53" i="4"/>
  <c r="F52" i="4"/>
  <c r="F51" i="4"/>
  <c r="F50" i="4"/>
  <c r="F49" i="4"/>
  <c r="F48" i="4"/>
  <c r="F47" i="4"/>
  <c r="F46" i="4"/>
  <c r="F45" i="4"/>
  <c r="H44" i="4"/>
  <c r="F44" i="4"/>
  <c r="G44" i="4" s="1"/>
  <c r="F43" i="4"/>
  <c r="F42" i="4"/>
  <c r="H42" i="4" s="1"/>
  <c r="G42" i="4"/>
  <c r="F41" i="4"/>
  <c r="G41" i="4" s="1"/>
  <c r="H41" i="4"/>
  <c r="F40" i="4"/>
  <c r="F39" i="4"/>
  <c r="F38" i="4"/>
  <c r="F37" i="4"/>
  <c r="G37" i="4" s="1"/>
  <c r="H37" i="4"/>
  <c r="F36" i="4"/>
  <c r="G36" i="4"/>
  <c r="H36" i="4"/>
  <c r="F35" i="4"/>
  <c r="F34" i="4"/>
  <c r="F33" i="4"/>
  <c r="G33" i="4" s="1"/>
  <c r="H33" i="4"/>
  <c r="F32" i="4"/>
  <c r="G32" i="4"/>
  <c r="H32" i="4"/>
  <c r="F31" i="4"/>
  <c r="F30" i="4"/>
  <c r="F29" i="4"/>
  <c r="G28" i="4"/>
  <c r="H28" i="4"/>
  <c r="I28" i="4"/>
  <c r="J28" i="4"/>
  <c r="F27" i="4"/>
  <c r="F26" i="4"/>
  <c r="H26" i="4" s="1"/>
  <c r="G26" i="4"/>
  <c r="F25" i="4"/>
  <c r="H25" i="4"/>
  <c r="G25" i="4"/>
  <c r="F24" i="4"/>
  <c r="F23" i="4"/>
  <c r="F22" i="4"/>
  <c r="H22" i="4" s="1"/>
  <c r="G22" i="4"/>
  <c r="F21" i="4"/>
  <c r="G21" i="4"/>
  <c r="H21" i="4"/>
  <c r="F20" i="4"/>
  <c r="G20" i="4"/>
  <c r="H20" i="4"/>
  <c r="F19" i="4"/>
  <c r="F18" i="4"/>
  <c r="F17" i="4"/>
  <c r="F16" i="4"/>
  <c r="G16" i="4" s="1"/>
  <c r="H16" i="4"/>
  <c r="F15" i="4"/>
  <c r="F14" i="4"/>
  <c r="G14" i="4" s="1"/>
  <c r="H14" i="4"/>
  <c r="H13" i="4"/>
  <c r="G13" i="4"/>
  <c r="F13" i="4"/>
  <c r="F12" i="4"/>
  <c r="F11" i="4"/>
  <c r="F10" i="4"/>
  <c r="F9" i="4"/>
  <c r="G9" i="4"/>
  <c r="H9" i="4"/>
  <c r="H8" i="4"/>
  <c r="F8" i="4"/>
  <c r="G8" i="4" s="1"/>
  <c r="F7" i="4"/>
  <c r="F6" i="4"/>
  <c r="E20" i="3"/>
  <c r="G20" i="3" s="1"/>
  <c r="F20" i="3"/>
  <c r="E19" i="3"/>
  <c r="E18" i="3"/>
  <c r="E17" i="3"/>
  <c r="F17" i="3"/>
  <c r="G17" i="3"/>
  <c r="E16" i="3"/>
  <c r="E15" i="3"/>
  <c r="E14" i="3"/>
  <c r="F14" i="3" s="1"/>
  <c r="G14" i="3"/>
  <c r="E13" i="3"/>
  <c r="E12" i="3"/>
  <c r="F12" i="3"/>
  <c r="G12" i="3"/>
  <c r="E10" i="3"/>
  <c r="F10" i="3" s="1"/>
  <c r="G10" i="3"/>
  <c r="E9" i="3"/>
  <c r="E8" i="3"/>
  <c r="F8" i="3"/>
  <c r="G8" i="3"/>
  <c r="D22" i="3"/>
  <c r="E22" i="3" s="1"/>
  <c r="E7" i="3"/>
  <c r="F7" i="3" s="1"/>
  <c r="G7" i="3"/>
  <c r="I75" i="4" l="1"/>
  <c r="J75" i="4"/>
  <c r="I74" i="4"/>
  <c r="J74" i="4"/>
  <c r="I73" i="4"/>
  <c r="J73" i="4"/>
  <c r="I72" i="4"/>
  <c r="J72" i="4"/>
  <c r="I71" i="4"/>
  <c r="J71" i="4"/>
  <c r="I70" i="4"/>
  <c r="J70" i="4"/>
  <c r="I69" i="4"/>
  <c r="J69" i="4"/>
  <c r="I68" i="4"/>
  <c r="J68" i="4"/>
  <c r="I67" i="4"/>
  <c r="J67" i="4"/>
  <c r="I66" i="4"/>
  <c r="J66" i="4"/>
  <c r="I65" i="4"/>
  <c r="J65" i="4"/>
  <c r="I64" i="4"/>
  <c r="J64" i="4"/>
  <c r="I63" i="4"/>
  <c r="J63" i="4"/>
  <c r="I62" i="4"/>
  <c r="J62" i="4"/>
  <c r="I61" i="4"/>
  <c r="J61" i="4"/>
  <c r="I60" i="4"/>
  <c r="J60" i="4"/>
  <c r="I59" i="4"/>
  <c r="J59" i="4"/>
  <c r="I58" i="4"/>
  <c r="J58" i="4"/>
  <c r="I57" i="4"/>
  <c r="J57" i="4"/>
  <c r="I56" i="4"/>
  <c r="J56" i="4"/>
  <c r="I55" i="4"/>
  <c r="J55" i="4"/>
  <c r="J54" i="4"/>
  <c r="I54" i="4"/>
  <c r="I53" i="4"/>
  <c r="J53" i="4"/>
  <c r="I52" i="4"/>
  <c r="J52" i="4"/>
  <c r="I51" i="4"/>
  <c r="J51" i="4"/>
  <c r="I50" i="4"/>
  <c r="J50" i="4"/>
  <c r="I49" i="4"/>
  <c r="J49" i="4"/>
  <c r="J48" i="4"/>
  <c r="I48" i="4"/>
  <c r="I47" i="4"/>
  <c r="J47" i="4"/>
  <c r="I46" i="4"/>
  <c r="J46" i="4"/>
  <c r="I45" i="4"/>
  <c r="J45" i="4"/>
  <c r="I44" i="4"/>
  <c r="J44" i="4"/>
  <c r="I43" i="4"/>
  <c r="J43" i="4"/>
  <c r="J42" i="4"/>
  <c r="I42" i="4"/>
  <c r="J41" i="4"/>
  <c r="I41" i="4"/>
  <c r="I40" i="4"/>
  <c r="J40" i="4"/>
  <c r="I39" i="4"/>
  <c r="J39" i="4"/>
  <c r="I38" i="4"/>
  <c r="J38" i="4"/>
  <c r="I37" i="4"/>
  <c r="J37" i="4"/>
  <c r="I36" i="4"/>
  <c r="J36" i="4"/>
  <c r="I35" i="4"/>
  <c r="J35" i="4"/>
  <c r="I34" i="4"/>
  <c r="J34" i="4"/>
  <c r="I33" i="4"/>
  <c r="J33" i="4"/>
  <c r="I32" i="4"/>
  <c r="J32" i="4"/>
  <c r="I31" i="4"/>
  <c r="J31" i="4"/>
  <c r="I30" i="4"/>
  <c r="J30" i="4"/>
  <c r="I29" i="4"/>
  <c r="J29" i="4"/>
  <c r="I27" i="4"/>
  <c r="J27" i="4"/>
  <c r="I26" i="4"/>
  <c r="J26" i="4"/>
  <c r="I25" i="4"/>
  <c r="J25" i="4"/>
  <c r="I24" i="4"/>
  <c r="J24" i="4"/>
  <c r="I23" i="4"/>
  <c r="J23" i="4"/>
  <c r="I22" i="4"/>
  <c r="J22" i="4"/>
  <c r="I21" i="4"/>
  <c r="J21" i="4"/>
  <c r="I20" i="4"/>
  <c r="J20" i="4"/>
  <c r="I19" i="4"/>
  <c r="J19" i="4"/>
  <c r="I18" i="4"/>
  <c r="J18" i="4"/>
  <c r="I17" i="4"/>
  <c r="J17" i="4"/>
  <c r="I16" i="4"/>
  <c r="J16" i="4"/>
  <c r="I15" i="4"/>
  <c r="J15" i="4"/>
  <c r="I14" i="4"/>
  <c r="J14" i="4"/>
  <c r="I13" i="4"/>
  <c r="J13" i="4"/>
  <c r="I12" i="4"/>
  <c r="J12" i="4"/>
  <c r="I11" i="4"/>
  <c r="J11" i="4"/>
  <c r="I10" i="4"/>
  <c r="J10" i="4"/>
  <c r="I9" i="4"/>
  <c r="J9" i="4"/>
  <c r="I8" i="4"/>
  <c r="J8" i="4"/>
  <c r="I7" i="4"/>
  <c r="J7" i="4"/>
  <c r="I6" i="4"/>
  <c r="J6" i="4"/>
  <c r="B82" i="4" s="1"/>
  <c r="B27" i="3"/>
  <c r="B26" i="3"/>
  <c r="B29" i="3"/>
  <c r="B28" i="3"/>
  <c r="H73" i="4"/>
  <c r="G73" i="4"/>
  <c r="H71" i="4"/>
  <c r="G71" i="4"/>
  <c r="H70" i="4"/>
  <c r="G70" i="4"/>
  <c r="H69" i="4"/>
  <c r="G69" i="4"/>
  <c r="G68" i="4"/>
  <c r="H68" i="4"/>
  <c r="H67" i="4"/>
  <c r="G67" i="4"/>
  <c r="H66" i="4"/>
  <c r="G66" i="4"/>
  <c r="G65" i="4"/>
  <c r="H65" i="4"/>
  <c r="G64" i="4"/>
  <c r="H64" i="4"/>
  <c r="H62" i="4"/>
  <c r="G62" i="4"/>
  <c r="H61" i="4"/>
  <c r="G61" i="4"/>
  <c r="H60" i="4"/>
  <c r="G60" i="4"/>
  <c r="H59" i="4"/>
  <c r="G59" i="4"/>
  <c r="G56" i="4"/>
  <c r="H56" i="4"/>
  <c r="G55" i="4"/>
  <c r="H55" i="4"/>
  <c r="H54" i="4"/>
  <c r="G54" i="4"/>
  <c r="G53" i="4"/>
  <c r="H53" i="4"/>
  <c r="G52" i="4"/>
  <c r="H52" i="4"/>
  <c r="H51" i="4"/>
  <c r="G51" i="4"/>
  <c r="G50" i="4"/>
  <c r="H50" i="4"/>
  <c r="G49" i="4"/>
  <c r="H49" i="4"/>
  <c r="G48" i="4"/>
  <c r="H48" i="4"/>
  <c r="H47" i="4"/>
  <c r="G47" i="4"/>
  <c r="H46" i="4"/>
  <c r="G46" i="4"/>
  <c r="H45" i="4"/>
  <c r="G45" i="4"/>
  <c r="H43" i="4"/>
  <c r="G43" i="4"/>
  <c r="G40" i="4"/>
  <c r="H40" i="4"/>
  <c r="G39" i="4"/>
  <c r="H39" i="4"/>
  <c r="G38" i="4"/>
  <c r="H38" i="4"/>
  <c r="H35" i="4"/>
  <c r="G35" i="4"/>
  <c r="H34" i="4"/>
  <c r="G34" i="4"/>
  <c r="H31" i="4"/>
  <c r="G31" i="4"/>
  <c r="G30" i="4"/>
  <c r="H30" i="4"/>
  <c r="H29" i="4"/>
  <c r="G29" i="4"/>
  <c r="G27" i="4"/>
  <c r="H27" i="4"/>
  <c r="H24" i="4"/>
  <c r="G24" i="4"/>
  <c r="H23" i="4"/>
  <c r="G23" i="4"/>
  <c r="H19" i="4"/>
  <c r="G19" i="4"/>
  <c r="G18" i="4"/>
  <c r="H18" i="4"/>
  <c r="G17" i="4"/>
  <c r="H17" i="4"/>
  <c r="H15" i="4"/>
  <c r="G15" i="4"/>
  <c r="H12" i="4"/>
  <c r="G12" i="4"/>
  <c r="H11" i="4"/>
  <c r="G11" i="4"/>
  <c r="H10" i="4"/>
  <c r="G10" i="4"/>
  <c r="H7" i="4"/>
  <c r="G7" i="4"/>
  <c r="H6" i="4"/>
  <c r="G6" i="4"/>
  <c r="F19" i="3"/>
  <c r="G19" i="3"/>
  <c r="F18" i="3"/>
  <c r="G18" i="3"/>
  <c r="G16" i="3"/>
  <c r="F16" i="3"/>
  <c r="F15" i="3"/>
  <c r="G15" i="3"/>
  <c r="F13" i="3"/>
  <c r="G13" i="3"/>
  <c r="G9" i="3"/>
  <c r="F9" i="3"/>
  <c r="B83" i="4" l="1"/>
  <c r="B79" i="4"/>
  <c r="B81" i="4"/>
  <c r="B80" i="4"/>
</calcChain>
</file>

<file path=xl/sharedStrings.xml><?xml version="1.0" encoding="utf-8"?>
<sst xmlns="http://schemas.openxmlformats.org/spreadsheetml/2006/main" count="1345" uniqueCount="316">
  <si>
    <t>ANÁLISE DE HEAD – NECESSIDADE DE CONTRATAÇÃO OU REDUÇÃO</t>
  </si>
  <si>
    <t>Critério: Head Atual x Head Programado</t>
  </si>
  <si>
    <t>Necessidade positiva = contratação | Necessidade negativa = redução | Zero = quadro adequado</t>
  </si>
  <si>
    <t>EMPRESA</t>
  </si>
  <si>
    <t>DEPARTAMENTO</t>
  </si>
  <si>
    <t>HEAD ATUAL</t>
  </si>
  <si>
    <t>HEAD PROGRAMADO</t>
  </si>
  <si>
    <t>DIFERENÇA</t>
  </si>
  <si>
    <t>SITUAÇÃO</t>
  </si>
  <si>
    <t>AÇÃO RECOMENDADA</t>
  </si>
  <si>
    <t>OBSERVAÇÃO</t>
  </si>
  <si>
    <t>IMPERIO LOG LTDA</t>
  </si>
  <si>
    <t>OPERACIONAL ARMAZEM</t>
  </si>
  <si>
    <t>L LOG TRANSPORTES E SERVIÇOS LTDA</t>
  </si>
  <si>
    <t>ADMINISTRATIVO</t>
  </si>
  <si>
    <t>ENTREGA</t>
  </si>
  <si>
    <t>LUBE DISTRIBUIDORA LTDA</t>
  </si>
  <si>
    <t>ADMINISTRAÇÃO</t>
  </si>
  <si>
    <t>AFASTADOS INSS</t>
  </si>
  <si>
    <t>IMPACESSO</t>
  </si>
  <si>
    <t>IMPADM</t>
  </si>
  <si>
    <t>IMPDIA</t>
  </si>
  <si>
    <t>IMPNOITE</t>
  </si>
  <si>
    <t>OPERACIONAL</t>
  </si>
  <si>
    <t>VENDAS BALCÃO</t>
  </si>
  <si>
    <t>VENDAS DISTRIBUICÃO</t>
  </si>
  <si>
    <t>LUBE RIO DISTRIBUIDORA LTDA</t>
  </si>
  <si>
    <t>GERAL</t>
  </si>
  <si>
    <t>SERMAR INCORPORAÇÕES E LOCAÇÕES IMOBILIARIAS LTDA</t>
  </si>
  <si>
    <t>SERMAR INCORP. E LOCAÇÕES  IMOBILIARIAS LTDA</t>
  </si>
  <si>
    <t>TOTAL GERAL</t>
  </si>
  <si>
    <t>INDICADORES</t>
  </si>
  <si>
    <t>Áreas abaixo do Head</t>
  </si>
  <si>
    <t>Áreas acima do Head</t>
  </si>
  <si>
    <t>Áreas com Head adequado</t>
  </si>
  <si>
    <t>Áreas aguardando programação</t>
  </si>
  <si>
    <t>HEAD ATUAL – QUADRO DE COLABORADORES</t>
  </si>
  <si>
    <t>RESUMO POR DEPARTAMENTO</t>
  </si>
  <si>
    <t>DETALHAMENTO DOS COLABORADORES</t>
  </si>
  <si>
    <t>COLABORADOR</t>
  </si>
  <si>
    <t>ADMISSÃO</t>
  </si>
  <si>
    <t>SEXO</t>
  </si>
  <si>
    <t>FUNÇÃO</t>
  </si>
  <si>
    <t>203</t>
  </si>
  <si>
    <t>ERIANE FERREIRA EDUARDO CANDIDO</t>
  </si>
  <si>
    <t>Feminino</t>
  </si>
  <si>
    <t>AUXILIAR DE SERVIÇOS GERAIS</t>
  </si>
  <si>
    <t>GEISIANE PEREIRA</t>
  </si>
  <si>
    <t>MANOEL FRANCELINO</t>
  </si>
  <si>
    <t>Masculino</t>
  </si>
  <si>
    <t>ROSIANE DAS DORES KLEIN PEREIRA</t>
  </si>
  <si>
    <t>CARLOS ANACLETO OLIVEIRA</t>
  </si>
  <si>
    <t>ESTOQUISTA  "B"</t>
  </si>
  <si>
    <t>NATHAN GUIMARAES DA SILVA</t>
  </si>
  <si>
    <t>ASSISTENTE DE LOGISTICA</t>
  </si>
  <si>
    <t>JHOM HENRICKY PEREIRA DA SILVA</t>
  </si>
  <si>
    <t>COORDENADOR DE TRANSPORTE</t>
  </si>
  <si>
    <t>KAYLLA DE OLIVEIRA ROSA</t>
  </si>
  <si>
    <t>MENOR APRENDIZ</t>
  </si>
  <si>
    <t>MARCOS PAULO SOUZA RIBEIRO</t>
  </si>
  <si>
    <t>MIGUEL REIS PEREIRA</t>
  </si>
  <si>
    <t>ADENIZIO ADRIANO DOS REIS</t>
  </si>
  <si>
    <t>AJUDANTE DE MOTORISTA II</t>
  </si>
  <si>
    <t>LINDOMAR GOMES FALCAO</t>
  </si>
  <si>
    <t>ADERSON DOS SANTOS RAIMUNDO NUNES</t>
  </si>
  <si>
    <t>AJUDANTE DE MOTORISTA III</t>
  </si>
  <si>
    <t>ALAN MARTINS PERPETUO</t>
  </si>
  <si>
    <t>AMILSON FERREIRA DE SOUZA</t>
  </si>
  <si>
    <t>ANDRE MARCHESI</t>
  </si>
  <si>
    <t>CHARLES LIANDRO VICENTE</t>
  </si>
  <si>
    <t>EDSON FONSECA VIEIRA</t>
  </si>
  <si>
    <t>FERNANDO LUCAS GUAITOLINI ANDRADE</t>
  </si>
  <si>
    <t>FLAVIO SANTOS</t>
  </si>
  <si>
    <t>GUSTAVO OLIVEIRA NERI</t>
  </si>
  <si>
    <t>JOCIVAL DE JESUS SANTOS</t>
  </si>
  <si>
    <t>LUIZ CARLOS CANDIDO DA SILVA</t>
  </si>
  <si>
    <t>MARCOS MAIOLI VIANA</t>
  </si>
  <si>
    <t>MAXSUEL DE OLIVEIRA SIMOURA</t>
  </si>
  <si>
    <t>PERCY JOSE CAMARGO DE OLIVEIRA</t>
  </si>
  <si>
    <t>ROBERLEI NEITZEL REIS</t>
  </si>
  <si>
    <t>WILLIAN BARBOZA DA SILVA</t>
  </si>
  <si>
    <t>BENTO CARLOS BASTOS JUNIOR</t>
  </si>
  <si>
    <t>AJUDANTE MOTORISTA I</t>
  </si>
  <si>
    <t>BRUNO CONTENTE SANTOS</t>
  </si>
  <si>
    <t>CARLOS PAULINO GOMES</t>
  </si>
  <si>
    <t>CLEBER LUCAS NASCIMENTO GUIMARAES</t>
  </si>
  <si>
    <t>EDIMAR DA SILVA QUEIROZ</t>
  </si>
  <si>
    <t>EDIPO DA SILVA BARCELLOS</t>
  </si>
  <si>
    <t>EDNALDO DOS REIS SIMPRICIANO</t>
  </si>
  <si>
    <t>EDSON ELIAS DE SOUZA</t>
  </si>
  <si>
    <t>FABIO PEREIRA DA SILVA</t>
  </si>
  <si>
    <t>FABRICIO REBONATO NOGUEIRA</t>
  </si>
  <si>
    <t>JOALDO OLIVEIRA SILVA</t>
  </si>
  <si>
    <t>JOCELIO HILARIO DOS SANTOS</t>
  </si>
  <si>
    <t>JOILSON RODRIGUES ARAUJO</t>
  </si>
  <si>
    <t>MARCOS VINICIUS PEREIRA NUNES</t>
  </si>
  <si>
    <t>WALLACE DA SILVA SANTOS</t>
  </si>
  <si>
    <t>WESCLEY FERREIRA LUCIO</t>
  </si>
  <si>
    <t>LUCIANO FREITAS BANDEIRA</t>
  </si>
  <si>
    <t>MOTORISTA CARRETEIRO</t>
  </si>
  <si>
    <t>ELISEU ALVES MACHADO</t>
  </si>
  <si>
    <t>MOTORISTA I</t>
  </si>
  <si>
    <t>WYLKSON DOS SANTOS OLIVEIRA</t>
  </si>
  <si>
    <t>CREIDSON DE SOUZA FERREIRA</t>
  </si>
  <si>
    <t>MOTORISTA II</t>
  </si>
  <si>
    <t>EDUARDO VIEIRA SANTANA</t>
  </si>
  <si>
    <t>GILCIMAR BONFIM THOME DE FARIA</t>
  </si>
  <si>
    <t>JULIANO RODRIGUES MIRANDA</t>
  </si>
  <si>
    <t>LEONARDO QUERINO RAMOS</t>
  </si>
  <si>
    <t>LUCILIO ROMAO</t>
  </si>
  <si>
    <t>MARCELO DOS SANTOS</t>
  </si>
  <si>
    <t>NATALINO BROZEGHINI</t>
  </si>
  <si>
    <t>NIVALDO DA SILVA LINHARES</t>
  </si>
  <si>
    <t>PATRICK DOS SANTOS GOMES</t>
  </si>
  <si>
    <t>RENATO STOFEL</t>
  </si>
  <si>
    <t>ROGERIO MARCOS CESARIO</t>
  </si>
  <si>
    <t>WELLINGTON TEIXEIRA RANGEL</t>
  </si>
  <si>
    <t>ADILSON HAND</t>
  </si>
  <si>
    <t>MOTORISTA III</t>
  </si>
  <si>
    <t>ALIRIO HAND</t>
  </si>
  <si>
    <t>CARLITO MACHADO DIAS</t>
  </si>
  <si>
    <t>ELIAS FERREIRA CABRAL</t>
  </si>
  <si>
    <t>ELIZEU MARTINS DA SILVA FILHO</t>
  </si>
  <si>
    <t>FLAVIO DE OLIVEIRA ALMEIDA</t>
  </si>
  <si>
    <t>HUEDSON DAS CHAGAS LIANDRO</t>
  </si>
  <si>
    <t>JOSE CARLOS FIRME</t>
  </si>
  <si>
    <t>KAYQUE JORGE MARROCHI DA ROCHA</t>
  </si>
  <si>
    <t>LEANDRO ALVES FRANÇA</t>
  </si>
  <si>
    <t>MARCO SOARES DE OLIVEIRA</t>
  </si>
  <si>
    <t>NELSON DA SILVA ANDRADE</t>
  </si>
  <si>
    <t>NILSON ROSENDO</t>
  </si>
  <si>
    <t>PAULO GUSMAO DO ROSARIO</t>
  </si>
  <si>
    <t>RAFAEL BERNARDO DE OLIVEIRA</t>
  </si>
  <si>
    <t>RAPHAEL RIBEIRO ERPES</t>
  </si>
  <si>
    <t>ROGERIO NIETO</t>
  </si>
  <si>
    <t>VALDECY SOUSA SANTOS</t>
  </si>
  <si>
    <t>WAGNER RODRIGUES</t>
  </si>
  <si>
    <t>WAGNER VENANCIO DE SOUZA</t>
  </si>
  <si>
    <t>ANDREIA CERUTI REIS</t>
  </si>
  <si>
    <t>ANALISTA DE CREDITO</t>
  </si>
  <si>
    <t>ANDERSON SALGADO MORAES</t>
  </si>
  <si>
    <t>ANALISTA DE DP</t>
  </si>
  <si>
    <t>KELI SFALSIN GATTI</t>
  </si>
  <si>
    <t>ANALISTA FINANCEIRO</t>
  </si>
  <si>
    <t>ALI PEREIRA DE JESUS</t>
  </si>
  <si>
    <t>ANALISTA FISCAL</t>
  </si>
  <si>
    <t>EDIMAR CARVALHO GARCIA</t>
  </si>
  <si>
    <t>KASSIANE DE OLIVEIRA DE JESUS</t>
  </si>
  <si>
    <t>ASSISTENTE ADMINISTRATIVO</t>
  </si>
  <si>
    <t>KERLLES DE JESUS NASCIMENTO LELIS JULIANI</t>
  </si>
  <si>
    <t>LORRAINY FERREIRA GUSTAVO NASCIMENTO</t>
  </si>
  <si>
    <t>MARIA LUIZA ANCESCHI FERREIRA</t>
  </si>
  <si>
    <t>JULIO CESAR ALVES NUNES</t>
  </si>
  <si>
    <t>ASSISTENTE DE TI</t>
  </si>
  <si>
    <t>VIVIANE DO NASCIMENTO SIQUEIRA</t>
  </si>
  <si>
    <t>ASSISTENTE FINANCEIRO</t>
  </si>
  <si>
    <t>GABRYELE OLIVEIRA DOS REIS</t>
  </si>
  <si>
    <t>AUXILIAR ADMINISTRATIVO</t>
  </si>
  <si>
    <t>ANA MARIA FIRME LUBE</t>
  </si>
  <si>
    <t>AUXILIAR DE ESCRITÓTIO</t>
  </si>
  <si>
    <t>DAVID VICTOR SOUSA PEREIRA</t>
  </si>
  <si>
    <t>AUXILIAR FISCAL</t>
  </si>
  <si>
    <t>AUREA BATISTA DOS SANTOS</t>
  </si>
  <si>
    <t>COORDENADOR DE RH</t>
  </si>
  <si>
    <t>WALDENYR SOARES GONÇALVES</t>
  </si>
  <si>
    <t>ENCARREGADO DE FATURAMENTO</t>
  </si>
  <si>
    <t>LUIS FERNANDO FERREIRA DOS SANTOS</t>
  </si>
  <si>
    <t>PYETRO RODRIGUES DE OLIVEIRA GOMES</t>
  </si>
  <si>
    <t>SAMUEL AMARAL AMOEDO</t>
  </si>
  <si>
    <t>CRISTIANI BUZZETTE LUBE</t>
  </si>
  <si>
    <t>SUPERVISOR ADMINISTRATIVO</t>
  </si>
  <si>
    <t>EDIMAR DO ROSARIO FERREIRA</t>
  </si>
  <si>
    <t>AJUDANTE DE CARGA E DESCARGA</t>
  </si>
  <si>
    <t>CARLOS ANTONIO PEREIRA</t>
  </si>
  <si>
    <t>SAMUEL ARAUJO GOMES</t>
  </si>
  <si>
    <t>GILMAR ALVES DA SILVA DE AMORIN</t>
  </si>
  <si>
    <t>OPERADOR DE EMPILHADEIRA</t>
  </si>
  <si>
    <t>ELIEDER GONCALVES SILVA</t>
  </si>
  <si>
    <t>Controlador de Acesso</t>
  </si>
  <si>
    <t>MARCUS ALEXANDRE ARAUJO DE ALMEIDA</t>
  </si>
  <si>
    <t>PEDRO HENRIQUE FERREIRA FERNANDES</t>
  </si>
  <si>
    <t>RAUL GILBERTO PIOTO</t>
  </si>
  <si>
    <t>FERNANDA DE SOUZA SANTOS</t>
  </si>
  <si>
    <t>ASSISTENTE FISCAL II</t>
  </si>
  <si>
    <t>CARLOS HENRIQUE MARTINS SILVA</t>
  </si>
  <si>
    <t>ANALISTA DE GESTÃO DE ESTOQUE</t>
  </si>
  <si>
    <t>FABIO RIBEIRO ALBUQUERQUE</t>
  </si>
  <si>
    <t>ASSISTENTE DE ESTOQUE</t>
  </si>
  <si>
    <t>DAVY MATHEUS PICCININ DO CARMO</t>
  </si>
  <si>
    <t>ASSISTENTE DE ESTOQUE I</t>
  </si>
  <si>
    <t>LUCAS RODRIGUES DE SOUZA XAVIER</t>
  </si>
  <si>
    <t>MARIA EDUARDA PEIXOTO BALBINO</t>
  </si>
  <si>
    <t>ASSISTENTE FISCAL I</t>
  </si>
  <si>
    <t>BEATRIZ LEAL NASCIMENTO</t>
  </si>
  <si>
    <t>AUXILIAR DE ESTOQUE</t>
  </si>
  <si>
    <t>SERGIO DESTEFANI DAS NEVES</t>
  </si>
  <si>
    <t>CLEIDSON MEIRELES CANDIDO</t>
  </si>
  <si>
    <t>CONFERENTE "B"</t>
  </si>
  <si>
    <t>DEVANI PAGANINI ALEXANDRE</t>
  </si>
  <si>
    <t>EDSON FERREIRA GUIMARÃES</t>
  </si>
  <si>
    <t>FABIO DA SILVA SANTOS</t>
  </si>
  <si>
    <t>CLEITON BOTELHO FALCAO</t>
  </si>
  <si>
    <t>CONFERENTE "C"</t>
  </si>
  <si>
    <t>GUSTAVO DOS SANTOS DOMINGOS</t>
  </si>
  <si>
    <t>ADEMIR REIS</t>
  </si>
  <si>
    <t>ENCARREGADO DE ARMAZEM</t>
  </si>
  <si>
    <t>JAIRO DO NASCIMENTO</t>
  </si>
  <si>
    <t>ESTOQUISTA</t>
  </si>
  <si>
    <t>ABSON DOS SANTOS DE ALMEIDA</t>
  </si>
  <si>
    <t>CLAUDEVAN BRUNO DE OLIVEIRA</t>
  </si>
  <si>
    <t>FABIO SOLEDADE CANCIO NASCIMENTO</t>
  </si>
  <si>
    <t>JEAN SANTOS  SILVA</t>
  </si>
  <si>
    <t>ORANI SOUZA SILVA</t>
  </si>
  <si>
    <t>TAYNARA VALERIO DA COSTA</t>
  </si>
  <si>
    <t>ERALDO JOSE BROEDEL</t>
  </si>
  <si>
    <t>CLEVESTER SACRAMENTO DA SILVA</t>
  </si>
  <si>
    <t>GABRIEL RIBEIRO RODRIGUES</t>
  </si>
  <si>
    <t>SALATIEL CONSTANTINO DA SILVA</t>
  </si>
  <si>
    <t>KASSIO FOLADOR THEODORO</t>
  </si>
  <si>
    <t>AUXILIAR DE LOGISTICA</t>
  </si>
  <si>
    <t>WALYSSON ITALO CONCEICAO DA SILVA</t>
  </si>
  <si>
    <t>THYARLES PIEDADE</t>
  </si>
  <si>
    <t>CLEBSON PEREIRA DA SILVA</t>
  </si>
  <si>
    <t>GUSTAVO DA SILVA LIMA</t>
  </si>
  <si>
    <t>LUCAS FERNANDES PROCOPIO</t>
  </si>
  <si>
    <t>LUCIANO SOUZA ROSA</t>
  </si>
  <si>
    <t>THIAGO MARINHO DA CONCEICAO</t>
  </si>
  <si>
    <t>PATRICK SILVA DE ARAUJO</t>
  </si>
  <si>
    <t>COORDENADOR ARMAZEM</t>
  </si>
  <si>
    <t>ITAMAR AYRES</t>
  </si>
  <si>
    <t>MACIEL CARVALHO DE SANTANA</t>
  </si>
  <si>
    <t>PAULO FERREIRA BARBOSA</t>
  </si>
  <si>
    <t>ALDAIR SILVA SANTOS</t>
  </si>
  <si>
    <t>ANDRE DE LIMA OLIVEIRA</t>
  </si>
  <si>
    <t>ANTONIO JOSE RODRIGUES</t>
  </si>
  <si>
    <t>BRUNO CEZAR SOARES SENA</t>
  </si>
  <si>
    <t>DANILO SILVA DO NASCIMENTO</t>
  </si>
  <si>
    <t>DHONATA DE OLIVEIRA MOREIRA</t>
  </si>
  <si>
    <t>ELISEU RAFAEL DA SILVA</t>
  </si>
  <si>
    <t>ELISMAR PEREIRA DE MELO</t>
  </si>
  <si>
    <t>ESTEVON GRASSI</t>
  </si>
  <si>
    <t>GEAN DOS REIS</t>
  </si>
  <si>
    <t>JEAN PEREIRA SARMENTO</t>
  </si>
  <si>
    <t>KELVYN NUNES DOS SANTOS</t>
  </si>
  <si>
    <t>RAFAEL DOS SANTOS LOUREIRO</t>
  </si>
  <si>
    <t>ROBERTO CARLOS RAINHA</t>
  </si>
  <si>
    <t>RODRIGO LOSS MARIA</t>
  </si>
  <si>
    <t>SAMUEL FELIPE LEITE DA SILVA</t>
  </si>
  <si>
    <t>UARLLES DA SILVA PAIXAO</t>
  </si>
  <si>
    <t>WESLEY LOPES DOS SANTOS</t>
  </si>
  <si>
    <t>ADEMILSON JACINTHO MARTINS</t>
  </si>
  <si>
    <t>LAUDENI MARTINS</t>
  </si>
  <si>
    <t>MARLLON WENDRELL SANTANA DE FARIA</t>
  </si>
  <si>
    <t>PAULO CESAR DE SOUZA</t>
  </si>
  <si>
    <t>THIAGO DA SILVA PIRES</t>
  </si>
  <si>
    <t>LEONAN AHNERT LITIG</t>
  </si>
  <si>
    <t>ASSISTENTE DE FROTA</t>
  </si>
  <si>
    <t>KAMILLI VITORIA ARAUJO FIOROTTI</t>
  </si>
  <si>
    <t>KEZIA MARIA BONGESTAB MAIOLI</t>
  </si>
  <si>
    <t>ASSISTENTE COMERCIAL</t>
  </si>
  <si>
    <t>BRENNO TRABACH DE CARVALHO</t>
  </si>
  <si>
    <t>ESTHER NASCIMENTO DE ASSIS</t>
  </si>
  <si>
    <t>MIRIAN SANTIAGO DA SILVA</t>
  </si>
  <si>
    <t>ALEXANDRE BOSSATTO CARDOZO</t>
  </si>
  <si>
    <t>SUPERVISOR DE TELEVENDAS</t>
  </si>
  <si>
    <t>IVANA DA SILVA NUNES KLIPPEL</t>
  </si>
  <si>
    <t>VENDEDOR</t>
  </si>
  <si>
    <t>JACIMARA FONSECA ROCHA</t>
  </si>
  <si>
    <t>JAQUELINE SILVA DE JESUS</t>
  </si>
  <si>
    <t>LUANA RIBEIRO FERREIRA</t>
  </si>
  <si>
    <t>MARCELO PIGNATON FIRME</t>
  </si>
  <si>
    <t>PAULO CESAR BARCELOS DOS SANTOS</t>
  </si>
  <si>
    <t>CARLA MONICA FURLANI DUARDES</t>
  </si>
  <si>
    <t>PROMOTOR DE VENDAS</t>
  </si>
  <si>
    <t>DIRLENE DE ABREU SILVA OLIVEIRA</t>
  </si>
  <si>
    <t>EDNA APARECIDA MENDES</t>
  </si>
  <si>
    <t>GABRIELA DA SILVA SOARES</t>
  </si>
  <si>
    <t>ANDREA SOARES DE ABREU</t>
  </si>
  <si>
    <t>CLAUDINEY FREDERIDO BENTO</t>
  </si>
  <si>
    <t>Ajudante de motorista II</t>
  </si>
  <si>
    <t>DAVID DOS SANTOS TORRES</t>
  </si>
  <si>
    <t>JOSE CARLOS CLEMENTE DE MIRANDA JUNIOR</t>
  </si>
  <si>
    <t>GABRIEL CAMARGO MACHADO ZACHARIAS</t>
  </si>
  <si>
    <t>DOUGLAS DE JESUS MENDES</t>
  </si>
  <si>
    <t>GUSTAVO BARBOZA MANGABEIRA DOS SANTOS</t>
  </si>
  <si>
    <t>LUCAS SILVA NERY</t>
  </si>
  <si>
    <t>DEYVISON DE SOUZA CORREIA</t>
  </si>
  <si>
    <t>JOAO LUIZ PENA NETO</t>
  </si>
  <si>
    <t>JOSE AGUINALDO NOGUEIRA SOARES</t>
  </si>
  <si>
    <t>ANDERSON BRUNO DA SILVA EUFRAZIO</t>
  </si>
  <si>
    <t>AILTON MUNIZ FIRME</t>
  </si>
  <si>
    <t>AUXILIAR DE OBRA</t>
  </si>
  <si>
    <t>GABRIEL BRANDEMBURG</t>
  </si>
  <si>
    <t>MACIEL DA SILVA FIRME</t>
  </si>
  <si>
    <t>ENCARREGADO</t>
  </si>
  <si>
    <t>DANIEL MUNIZ FIRME</t>
  </si>
  <si>
    <t>OFICIAL POLIVALENTE PEDREIRO</t>
  </si>
  <si>
    <t>VALMIR DE SOUZA LEITE</t>
  </si>
  <si>
    <t>HEAD PROGRAMADO – PREENCHIMENTO DO GESTOR / RH</t>
  </si>
  <si>
    <t>Preencha somente a coluna 'HEAD PROGRAMADO'. A coluna 'HEAD ATUAL' é apenas referência.</t>
  </si>
  <si>
    <t>HEAD ATUAL REFERÊNCIA</t>
  </si>
  <si>
    <t>AFASTADO INSS</t>
  </si>
  <si>
    <t>ANÁLISE DE HEAD POR FUNÇÃO – CONTRATAÇÃO E REDUÇÃO</t>
  </si>
  <si>
    <t>Necessidade = Head Programado – Head Atual. Resultado positivo indica quantas vagas precisam ser contratadas.</t>
  </si>
  <si>
    <t>NECESSIDADE</t>
  </si>
  <si>
    <t>AÇÃO</t>
  </si>
  <si>
    <t>VAGAS A CONTRATAR</t>
  </si>
  <si>
    <t>REDUÇÕES</t>
  </si>
  <si>
    <t>RESUMO PARA DECISÃO</t>
  </si>
  <si>
    <t>Funções que precisam contratar</t>
  </si>
  <si>
    <t>Total de vagas a contratar</t>
  </si>
  <si>
    <t>Funções com indicação de redução</t>
  </si>
  <si>
    <t>Total de reduções</t>
  </si>
  <si>
    <t>Funções com Head adequado</t>
  </si>
  <si>
    <t>FUNÇÕES QUE PRECISAM DE CONTRATAÇÃO</t>
  </si>
  <si>
    <t>A tabela acima usa FILTER nas versões atuais do Excel. A tabela principal acima pode ser filtrada por AÇÃO = CONTRATAR.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</si>
</sst>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2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2"/>
      <color rgb="FFFFFFFF"/>
      <name val="Calibri"/>
    </font>
    <font>
      <b/>
      <sz val="11"/>
      <color rgb="FFFFFFFF"/>
      <name val="Calibri"/>
    </font>
    <font>
      <i/>
      <sz val="11"/>
      <color rgb="FF1F1F1F"/>
      <name val="Calibri"/>
    </font>
    <font>
      <b/>
      <sz val="11"/>
      <color rgb="FF1F1F1F"/>
      <name val="Calibri"/>
    </font>
    <font>
      <b/>
      <sz val="11"/>
      <name val="Calibri"/>
    </font>
    <font>
      <b/>
      <sz val="16"/>
      <color rgb="FFFFFFFF"/>
      <name val="Calibri"/>
    </font>
    <font>
      <i/>
      <sz val="11"/>
      <name val="Calibri"/>
    </font>
    <font>
      <b/>
      <sz val="11"/>
      <color rgb="FFFFFFFF"/>
      <name val="Calibri"/>
    </font>
    <font>
      <b/>
      <sz val="12"/>
      <color rgb="FFFFFFFF"/>
      <name val="Calibri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70AD47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vertical="center"/>
    </xf>
    <xf numFmtId="1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4" borderId="1" xfId="0" applyFill="1" applyBorder="1" applyAlignment="1">
      <alignment horizontal="center"/>
    </xf>
    <xf numFmtId="0" fontId="5" fillId="0" borderId="0" xfId="0" applyFont="1"/>
    <xf numFmtId="0" fontId="6" fillId="3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/>
    <xf numFmtId="0" fontId="9" fillId="5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horizontal="center"/>
    </xf>
    <xf numFmtId="0" fontId="11" fillId="0" borderId="2" xfId="0" applyFont="1" applyBorder="1"/>
    <xf numFmtId="0" fontId="9" fillId="5" borderId="2" xfId="0" applyFont="1" applyFill="1" applyBorder="1" applyAlignment="1">
      <alignment horizontal="center" wrapText="1"/>
    </xf>
    <xf numFmtId="0" fontId="4" fillId="0" borderId="0" xfId="0" applyFont="1"/>
    <xf numFmtId="0" fontId="0" fillId="0" borderId="0" xfId="0"/>
    <xf numFmtId="0" fontId="2" fillId="3" borderId="0" xfId="0" applyFont="1" applyFill="1"/>
    <xf numFmtId="0" fontId="1" fillId="2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/>
    </xf>
    <xf numFmtId="0" fontId="10" fillId="7" borderId="0" xfId="0" applyFont="1" applyFill="1"/>
    <xf numFmtId="0" fontId="10" fillId="6" borderId="0" xfId="0" applyFont="1" applyFill="1"/>
    <xf numFmtId="0" fontId="8" fillId="0" borderId="0" xfId="0" applyFont="1"/>
  </cellXfs>
  <cellStyles count="1">
    <cellStyle name="Normal" xfId="0" builtinId="0"/>
  </cellStyles>
  <dxfs count="11">
    <dxf>
      <fill>
        <patternFill patternType="solid">
          <fgColor rgb="FFF4CCCC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E2F0D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227"/>
  <sheetViews>
    <sheetView showGridLines="0" workbookViewId="0">
      <pane ySplit="23" topLeftCell="A85" activePane="bottomLeft" state="frozen"/>
      <selection pane="bottomLeft" activeCell="B75" sqref="B75"/>
    </sheetView>
  </sheetViews>
  <sheetFormatPr defaultRowHeight="15" x14ac:dyDescent="0.25"/>
  <cols>
    <col min="1" max="1" width="52.7109375" customWidth="1"/>
    <col min="2" max="2" width="46.42578125" bestFit="1" customWidth="1"/>
    <col min="3" max="3" width="30" customWidth="1"/>
    <col min="4" max="4" width="14" customWidth="1"/>
    <col min="5" max="5" width="12" customWidth="1"/>
    <col min="6" max="6" width="32" customWidth="1"/>
  </cols>
  <sheetData>
    <row r="1" spans="1:6" ht="27.95" customHeight="1" x14ac:dyDescent="0.25">
      <c r="A1" s="20" t="s">
        <v>36</v>
      </c>
      <c r="B1" s="18"/>
      <c r="C1" s="18"/>
      <c r="D1" s="18"/>
      <c r="E1" s="18"/>
      <c r="F1" s="18"/>
    </row>
    <row r="3" spans="1:6" ht="15.75" customHeight="1" x14ac:dyDescent="0.25">
      <c r="A3" s="19" t="s">
        <v>37</v>
      </c>
      <c r="B3" s="18"/>
      <c r="C3" s="18"/>
    </row>
    <row r="4" spans="1:6" x14ac:dyDescent="0.25">
      <c r="A4" s="1" t="s">
        <v>3</v>
      </c>
      <c r="B4" s="1" t="s">
        <v>4</v>
      </c>
      <c r="C4" s="1" t="s">
        <v>5</v>
      </c>
    </row>
    <row r="5" spans="1:6" x14ac:dyDescent="0.25">
      <c r="A5" s="2"/>
      <c r="B5" s="2"/>
      <c r="C5" s="3">
        <v>1</v>
      </c>
    </row>
    <row r="6" spans="1:6" x14ac:dyDescent="0.25">
      <c r="A6" s="2" t="s">
        <v>11</v>
      </c>
      <c r="B6" s="2" t="s">
        <v>12</v>
      </c>
      <c r="C6" s="3">
        <v>5</v>
      </c>
    </row>
    <row r="7" spans="1:6" x14ac:dyDescent="0.25">
      <c r="A7" s="2" t="s">
        <v>13</v>
      </c>
      <c r="B7" s="2" t="s">
        <v>14</v>
      </c>
      <c r="C7" s="3">
        <v>5</v>
      </c>
    </row>
    <row r="8" spans="1:6" x14ac:dyDescent="0.25">
      <c r="A8" s="2" t="s">
        <v>13</v>
      </c>
      <c r="B8" s="2" t="s">
        <v>15</v>
      </c>
      <c r="C8" s="3">
        <v>70</v>
      </c>
    </row>
    <row r="9" spans="1:6" x14ac:dyDescent="0.25">
      <c r="A9" s="2" t="s">
        <v>16</v>
      </c>
      <c r="B9" s="2" t="s">
        <v>17</v>
      </c>
      <c r="C9" s="3">
        <v>20</v>
      </c>
    </row>
    <row r="10" spans="1:6" x14ac:dyDescent="0.25">
      <c r="A10" s="2" t="s">
        <v>16</v>
      </c>
      <c r="B10" s="2" t="s">
        <v>18</v>
      </c>
      <c r="C10" s="3">
        <v>4</v>
      </c>
    </row>
    <row r="11" spans="1:6" x14ac:dyDescent="0.25">
      <c r="A11" s="2" t="s">
        <v>16</v>
      </c>
      <c r="B11" s="2" t="s">
        <v>19</v>
      </c>
      <c r="C11" s="3">
        <v>4</v>
      </c>
    </row>
    <row r="12" spans="1:6" x14ac:dyDescent="0.25">
      <c r="A12" s="2" t="s">
        <v>16</v>
      </c>
      <c r="B12" s="2" t="s">
        <v>20</v>
      </c>
      <c r="C12" s="3">
        <v>1</v>
      </c>
    </row>
    <row r="13" spans="1:6" x14ac:dyDescent="0.25">
      <c r="A13" s="2" t="s">
        <v>16</v>
      </c>
      <c r="B13" s="2" t="s">
        <v>21</v>
      </c>
      <c r="C13" s="3">
        <v>25</v>
      </c>
    </row>
    <row r="14" spans="1:6" x14ac:dyDescent="0.25">
      <c r="A14" s="2" t="s">
        <v>16</v>
      </c>
      <c r="B14" s="2" t="s">
        <v>22</v>
      </c>
      <c r="C14" s="3">
        <v>35</v>
      </c>
    </row>
    <row r="15" spans="1:6" x14ac:dyDescent="0.25">
      <c r="A15" s="2" t="s">
        <v>16</v>
      </c>
      <c r="B15" s="2" t="s">
        <v>23</v>
      </c>
      <c r="C15" s="3">
        <v>1</v>
      </c>
    </row>
    <row r="16" spans="1:6" x14ac:dyDescent="0.25">
      <c r="A16" s="2" t="s">
        <v>16</v>
      </c>
      <c r="B16" s="2" t="s">
        <v>24</v>
      </c>
      <c r="C16" s="3">
        <v>12</v>
      </c>
    </row>
    <row r="17" spans="1:6" x14ac:dyDescent="0.25">
      <c r="A17" s="2" t="s">
        <v>16</v>
      </c>
      <c r="B17" s="2" t="s">
        <v>25</v>
      </c>
      <c r="C17" s="3">
        <v>4</v>
      </c>
    </row>
    <row r="18" spans="1:6" x14ac:dyDescent="0.25">
      <c r="A18" s="2" t="s">
        <v>26</v>
      </c>
      <c r="B18" s="2" t="s">
        <v>27</v>
      </c>
      <c r="C18" s="3">
        <v>12</v>
      </c>
    </row>
    <row r="19" spans="1:6" x14ac:dyDescent="0.25">
      <c r="A19" s="2" t="s">
        <v>28</v>
      </c>
      <c r="B19" s="2" t="s">
        <v>29</v>
      </c>
      <c r="C19" s="3">
        <v>5</v>
      </c>
    </row>
    <row r="22" spans="1:6" ht="15.75" customHeight="1" x14ac:dyDescent="0.25">
      <c r="A22" s="19" t="s">
        <v>38</v>
      </c>
      <c r="B22" s="18"/>
      <c r="C22" s="18"/>
      <c r="D22" s="18"/>
      <c r="E22" s="18"/>
      <c r="F22" s="18"/>
    </row>
    <row r="23" spans="1:6" x14ac:dyDescent="0.25">
      <c r="A23" s="1" t="s">
        <v>3</v>
      </c>
      <c r="B23" s="1" t="s">
        <v>39</v>
      </c>
      <c r="C23" s="1" t="s">
        <v>4</v>
      </c>
      <c r="D23" s="1" t="s">
        <v>40</v>
      </c>
      <c r="E23" s="1" t="s">
        <v>41</v>
      </c>
      <c r="F23" s="1" t="s">
        <v>42</v>
      </c>
    </row>
    <row r="24" spans="1:6" hidden="1" x14ac:dyDescent="0.25">
      <c r="A24" s="2"/>
      <c r="B24" s="2" t="s">
        <v>43</v>
      </c>
      <c r="C24" s="2"/>
      <c r="D24" s="4"/>
      <c r="E24" s="2"/>
      <c r="F24" s="2"/>
    </row>
    <row r="25" spans="1:6" hidden="1" x14ac:dyDescent="0.25">
      <c r="A25" s="2" t="s">
        <v>11</v>
      </c>
      <c r="B25" s="2" t="s">
        <v>44</v>
      </c>
      <c r="C25" s="2" t="s">
        <v>12</v>
      </c>
      <c r="D25" s="5">
        <v>45572</v>
      </c>
      <c r="E25" s="2" t="s">
        <v>45</v>
      </c>
      <c r="F25" s="2" t="s">
        <v>46</v>
      </c>
    </row>
    <row r="26" spans="1:6" hidden="1" x14ac:dyDescent="0.25">
      <c r="A26" s="2" t="s">
        <v>11</v>
      </c>
      <c r="B26" s="2" t="s">
        <v>47</v>
      </c>
      <c r="C26" s="2" t="s">
        <v>12</v>
      </c>
      <c r="D26" s="5">
        <v>45957</v>
      </c>
      <c r="E26" s="2" t="s">
        <v>45</v>
      </c>
      <c r="F26" s="2" t="s">
        <v>46</v>
      </c>
    </row>
    <row r="27" spans="1:6" hidden="1" x14ac:dyDescent="0.25">
      <c r="A27" s="2" t="s">
        <v>11</v>
      </c>
      <c r="B27" s="2" t="s">
        <v>48</v>
      </c>
      <c r="C27" s="2" t="s">
        <v>12</v>
      </c>
      <c r="D27" s="5">
        <v>44755</v>
      </c>
      <c r="E27" s="2" t="s">
        <v>49</v>
      </c>
      <c r="F27" s="2" t="s">
        <v>46</v>
      </c>
    </row>
    <row r="28" spans="1:6" hidden="1" x14ac:dyDescent="0.25">
      <c r="A28" s="2" t="s">
        <v>11</v>
      </c>
      <c r="B28" s="2" t="s">
        <v>50</v>
      </c>
      <c r="C28" s="2" t="s">
        <v>12</v>
      </c>
      <c r="D28" s="5">
        <v>46147</v>
      </c>
      <c r="E28" s="2" t="s">
        <v>45</v>
      </c>
      <c r="F28" s="2" t="s">
        <v>46</v>
      </c>
    </row>
    <row r="29" spans="1:6" hidden="1" x14ac:dyDescent="0.25">
      <c r="A29" s="2" t="s">
        <v>11</v>
      </c>
      <c r="B29" s="2" t="s">
        <v>51</v>
      </c>
      <c r="C29" s="2" t="s">
        <v>12</v>
      </c>
      <c r="D29" s="5">
        <v>44754</v>
      </c>
      <c r="E29" s="2" t="s">
        <v>49</v>
      </c>
      <c r="F29" s="2" t="s">
        <v>52</v>
      </c>
    </row>
    <row r="30" spans="1:6" hidden="1" x14ac:dyDescent="0.25">
      <c r="A30" s="2" t="s">
        <v>13</v>
      </c>
      <c r="B30" s="2" t="s">
        <v>53</v>
      </c>
      <c r="C30" s="2" t="s">
        <v>14</v>
      </c>
      <c r="D30" s="5">
        <v>45988</v>
      </c>
      <c r="E30" s="2" t="s">
        <v>49</v>
      </c>
      <c r="F30" s="2" t="s">
        <v>54</v>
      </c>
    </row>
    <row r="31" spans="1:6" hidden="1" x14ac:dyDescent="0.25">
      <c r="A31" s="2" t="s">
        <v>13</v>
      </c>
      <c r="B31" s="2" t="s">
        <v>55</v>
      </c>
      <c r="C31" s="2" t="s">
        <v>14</v>
      </c>
      <c r="D31" s="5">
        <v>44250</v>
      </c>
      <c r="E31" s="2" t="s">
        <v>49</v>
      </c>
      <c r="F31" s="2" t="s">
        <v>56</v>
      </c>
    </row>
    <row r="32" spans="1:6" hidden="1" x14ac:dyDescent="0.25">
      <c r="A32" s="2" t="s">
        <v>13</v>
      </c>
      <c r="B32" s="2" t="s">
        <v>57</v>
      </c>
      <c r="C32" s="2" t="s">
        <v>14</v>
      </c>
      <c r="D32" s="5">
        <v>45978</v>
      </c>
      <c r="E32" s="2" t="s">
        <v>45</v>
      </c>
      <c r="F32" s="2" t="s">
        <v>58</v>
      </c>
    </row>
    <row r="33" spans="1:6" hidden="1" x14ac:dyDescent="0.25">
      <c r="A33" s="2" t="s">
        <v>13</v>
      </c>
      <c r="B33" s="2" t="s">
        <v>59</v>
      </c>
      <c r="C33" s="2" t="s">
        <v>14</v>
      </c>
      <c r="D33" s="5">
        <v>46128</v>
      </c>
      <c r="E33" s="2" t="s">
        <v>49</v>
      </c>
      <c r="F33" s="2" t="s">
        <v>58</v>
      </c>
    </row>
    <row r="34" spans="1:6" hidden="1" x14ac:dyDescent="0.25">
      <c r="A34" s="2" t="s">
        <v>13</v>
      </c>
      <c r="B34" s="2" t="s">
        <v>60</v>
      </c>
      <c r="C34" s="2" t="s">
        <v>14</v>
      </c>
      <c r="D34" s="5">
        <v>46251</v>
      </c>
      <c r="E34" s="2" t="s">
        <v>49</v>
      </c>
      <c r="F34" s="2" t="s">
        <v>58</v>
      </c>
    </row>
    <row r="35" spans="1:6" hidden="1" x14ac:dyDescent="0.25">
      <c r="A35" s="2" t="s">
        <v>13</v>
      </c>
      <c r="B35" s="2" t="s">
        <v>61</v>
      </c>
      <c r="C35" s="2" t="s">
        <v>15</v>
      </c>
      <c r="D35" s="5">
        <v>37135</v>
      </c>
      <c r="E35" s="2" t="s">
        <v>49</v>
      </c>
      <c r="F35" s="2" t="s">
        <v>62</v>
      </c>
    </row>
    <row r="36" spans="1:6" hidden="1" x14ac:dyDescent="0.25">
      <c r="A36" s="2" t="s">
        <v>13</v>
      </c>
      <c r="B36" s="2" t="s">
        <v>63</v>
      </c>
      <c r="C36" s="2" t="s">
        <v>15</v>
      </c>
      <c r="D36" s="5">
        <v>41341</v>
      </c>
      <c r="E36" s="2" t="s">
        <v>49</v>
      </c>
      <c r="F36" s="2" t="s">
        <v>62</v>
      </c>
    </row>
    <row r="37" spans="1:6" hidden="1" x14ac:dyDescent="0.25">
      <c r="A37" s="2" t="s">
        <v>13</v>
      </c>
      <c r="B37" s="2" t="s">
        <v>64</v>
      </c>
      <c r="C37" s="2" t="s">
        <v>15</v>
      </c>
      <c r="D37" s="5">
        <v>45222</v>
      </c>
      <c r="E37" s="2" t="s">
        <v>49</v>
      </c>
      <c r="F37" s="2" t="s">
        <v>65</v>
      </c>
    </row>
    <row r="38" spans="1:6" hidden="1" x14ac:dyDescent="0.25">
      <c r="A38" s="2" t="s">
        <v>13</v>
      </c>
      <c r="B38" s="2" t="s">
        <v>66</v>
      </c>
      <c r="C38" s="2" t="s">
        <v>15</v>
      </c>
      <c r="D38" s="5">
        <v>43318</v>
      </c>
      <c r="E38" s="2" t="s">
        <v>49</v>
      </c>
      <c r="F38" s="2" t="s">
        <v>65</v>
      </c>
    </row>
    <row r="39" spans="1:6" hidden="1" x14ac:dyDescent="0.25">
      <c r="A39" s="2" t="s">
        <v>13</v>
      </c>
      <c r="B39" s="2" t="s">
        <v>67</v>
      </c>
      <c r="C39" s="2" t="s">
        <v>15</v>
      </c>
      <c r="D39" s="5">
        <v>45931</v>
      </c>
      <c r="E39" s="2" t="s">
        <v>49</v>
      </c>
      <c r="F39" s="2" t="s">
        <v>65</v>
      </c>
    </row>
    <row r="40" spans="1:6" hidden="1" x14ac:dyDescent="0.25">
      <c r="A40" s="2" t="s">
        <v>13</v>
      </c>
      <c r="B40" s="2" t="s">
        <v>68</v>
      </c>
      <c r="C40" s="2" t="s">
        <v>15</v>
      </c>
      <c r="D40" s="5">
        <v>44208</v>
      </c>
      <c r="E40" s="2" t="s">
        <v>49</v>
      </c>
      <c r="F40" s="2" t="s">
        <v>65</v>
      </c>
    </row>
    <row r="41" spans="1:6" hidden="1" x14ac:dyDescent="0.25">
      <c r="A41" s="2" t="s">
        <v>13</v>
      </c>
      <c r="B41" s="2" t="s">
        <v>69</v>
      </c>
      <c r="C41" s="2" t="s">
        <v>15</v>
      </c>
      <c r="D41" s="5">
        <v>45124</v>
      </c>
      <c r="E41" s="2" t="s">
        <v>49</v>
      </c>
      <c r="F41" s="2" t="s">
        <v>65</v>
      </c>
    </row>
    <row r="42" spans="1:6" hidden="1" x14ac:dyDescent="0.25">
      <c r="A42" s="2" t="s">
        <v>13</v>
      </c>
      <c r="B42" s="2" t="s">
        <v>70</v>
      </c>
      <c r="C42" s="2" t="s">
        <v>15</v>
      </c>
      <c r="D42" s="5">
        <v>45272</v>
      </c>
      <c r="E42" s="2" t="s">
        <v>49</v>
      </c>
      <c r="F42" s="2" t="s">
        <v>65</v>
      </c>
    </row>
    <row r="43" spans="1:6" hidden="1" x14ac:dyDescent="0.25">
      <c r="A43" s="2" t="s">
        <v>13</v>
      </c>
      <c r="B43" s="2" t="s">
        <v>71</v>
      </c>
      <c r="C43" s="2" t="s">
        <v>15</v>
      </c>
      <c r="D43" s="5">
        <v>45922</v>
      </c>
      <c r="E43" s="2" t="s">
        <v>49</v>
      </c>
      <c r="F43" s="2" t="s">
        <v>65</v>
      </c>
    </row>
    <row r="44" spans="1:6" hidden="1" x14ac:dyDescent="0.25">
      <c r="A44" s="2" t="s">
        <v>13</v>
      </c>
      <c r="B44" s="2" t="s">
        <v>72</v>
      </c>
      <c r="C44" s="2" t="s">
        <v>15</v>
      </c>
      <c r="D44" s="5">
        <v>45397</v>
      </c>
      <c r="E44" s="2" t="s">
        <v>49</v>
      </c>
      <c r="F44" s="2" t="s">
        <v>65</v>
      </c>
    </row>
    <row r="45" spans="1:6" hidden="1" x14ac:dyDescent="0.25">
      <c r="A45" s="2" t="s">
        <v>13</v>
      </c>
      <c r="B45" s="2" t="s">
        <v>73</v>
      </c>
      <c r="C45" s="2" t="s">
        <v>15</v>
      </c>
      <c r="D45" s="5">
        <v>45034</v>
      </c>
      <c r="E45" s="2" t="s">
        <v>49</v>
      </c>
      <c r="F45" s="2" t="s">
        <v>65</v>
      </c>
    </row>
    <row r="46" spans="1:6" hidden="1" x14ac:dyDescent="0.25">
      <c r="A46" s="2" t="s">
        <v>13</v>
      </c>
      <c r="B46" s="2" t="s">
        <v>74</v>
      </c>
      <c r="C46" s="2" t="s">
        <v>15</v>
      </c>
      <c r="D46" s="5">
        <v>45684</v>
      </c>
      <c r="E46" s="2" t="s">
        <v>49</v>
      </c>
      <c r="F46" s="2" t="s">
        <v>65</v>
      </c>
    </row>
    <row r="47" spans="1:6" hidden="1" x14ac:dyDescent="0.25">
      <c r="A47" s="2" t="s">
        <v>13</v>
      </c>
      <c r="B47" s="2" t="s">
        <v>75</v>
      </c>
      <c r="C47" s="2" t="s">
        <v>15</v>
      </c>
      <c r="D47" s="5">
        <v>45315</v>
      </c>
      <c r="E47" s="2" t="s">
        <v>49</v>
      </c>
      <c r="F47" s="2" t="s">
        <v>65</v>
      </c>
    </row>
    <row r="48" spans="1:6" hidden="1" x14ac:dyDescent="0.25">
      <c r="A48" s="2" t="s">
        <v>13</v>
      </c>
      <c r="B48" s="2" t="s">
        <v>76</v>
      </c>
      <c r="C48" s="2" t="s">
        <v>15</v>
      </c>
      <c r="D48" s="5">
        <v>45608</v>
      </c>
      <c r="E48" s="2" t="s">
        <v>49</v>
      </c>
      <c r="F48" s="2" t="s">
        <v>65</v>
      </c>
    </row>
    <row r="49" spans="1:6" hidden="1" x14ac:dyDescent="0.25">
      <c r="A49" s="2" t="s">
        <v>13</v>
      </c>
      <c r="B49" s="2" t="s">
        <v>77</v>
      </c>
      <c r="C49" s="2" t="s">
        <v>15</v>
      </c>
      <c r="D49" s="5">
        <v>45446</v>
      </c>
      <c r="E49" s="2" t="s">
        <v>49</v>
      </c>
      <c r="F49" s="2" t="s">
        <v>65</v>
      </c>
    </row>
    <row r="50" spans="1:6" hidden="1" x14ac:dyDescent="0.25">
      <c r="A50" s="2" t="s">
        <v>13</v>
      </c>
      <c r="B50" s="2" t="s">
        <v>78</v>
      </c>
      <c r="C50" s="2" t="s">
        <v>15</v>
      </c>
      <c r="D50" s="5">
        <v>44138</v>
      </c>
      <c r="E50" s="2" t="s">
        <v>49</v>
      </c>
      <c r="F50" s="2" t="s">
        <v>65</v>
      </c>
    </row>
    <row r="51" spans="1:6" hidden="1" x14ac:dyDescent="0.25">
      <c r="A51" s="2" t="s">
        <v>13</v>
      </c>
      <c r="B51" s="2" t="s">
        <v>79</v>
      </c>
      <c r="C51" s="2" t="s">
        <v>15</v>
      </c>
      <c r="D51" s="5">
        <v>44208</v>
      </c>
      <c r="E51" s="2" t="s">
        <v>49</v>
      </c>
      <c r="F51" s="2" t="s">
        <v>65</v>
      </c>
    </row>
    <row r="52" spans="1:6" hidden="1" x14ac:dyDescent="0.25">
      <c r="A52" s="2" t="s">
        <v>13</v>
      </c>
      <c r="B52" s="2" t="s">
        <v>80</v>
      </c>
      <c r="C52" s="2" t="s">
        <v>15</v>
      </c>
      <c r="D52" s="5">
        <v>45796</v>
      </c>
      <c r="E52" s="2" t="s">
        <v>49</v>
      </c>
      <c r="F52" s="2" t="s">
        <v>65</v>
      </c>
    </row>
    <row r="53" spans="1:6" hidden="1" x14ac:dyDescent="0.25">
      <c r="A53" s="2" t="s">
        <v>13</v>
      </c>
      <c r="B53" s="2" t="s">
        <v>81</v>
      </c>
      <c r="C53" s="2" t="s">
        <v>15</v>
      </c>
      <c r="D53" s="5">
        <v>45922</v>
      </c>
      <c r="E53" s="2" t="s">
        <v>49</v>
      </c>
      <c r="F53" s="2" t="s">
        <v>82</v>
      </c>
    </row>
    <row r="54" spans="1:6" hidden="1" x14ac:dyDescent="0.25">
      <c r="A54" s="2" t="s">
        <v>13</v>
      </c>
      <c r="B54" s="2" t="s">
        <v>83</v>
      </c>
      <c r="C54" s="2" t="s">
        <v>15</v>
      </c>
      <c r="D54" s="5">
        <v>46237</v>
      </c>
      <c r="E54" s="2" t="s">
        <v>49</v>
      </c>
      <c r="F54" s="2" t="s">
        <v>82</v>
      </c>
    </row>
    <row r="55" spans="1:6" hidden="1" x14ac:dyDescent="0.25">
      <c r="A55" s="2" t="s">
        <v>13</v>
      </c>
      <c r="B55" s="2" t="s">
        <v>84</v>
      </c>
      <c r="C55" s="2" t="s">
        <v>15</v>
      </c>
      <c r="D55" s="5">
        <v>46076</v>
      </c>
      <c r="E55" s="2" t="s">
        <v>49</v>
      </c>
      <c r="F55" s="2" t="s">
        <v>82</v>
      </c>
    </row>
    <row r="56" spans="1:6" hidden="1" x14ac:dyDescent="0.25">
      <c r="A56" s="2" t="s">
        <v>13</v>
      </c>
      <c r="B56" s="2" t="s">
        <v>85</v>
      </c>
      <c r="C56" s="2" t="s">
        <v>15</v>
      </c>
      <c r="D56" s="5">
        <v>46251</v>
      </c>
      <c r="E56" s="2" t="s">
        <v>49</v>
      </c>
      <c r="F56" s="2" t="s">
        <v>82</v>
      </c>
    </row>
    <row r="57" spans="1:6" hidden="1" x14ac:dyDescent="0.25">
      <c r="A57" s="2" t="s">
        <v>13</v>
      </c>
      <c r="B57" s="2" t="s">
        <v>86</v>
      </c>
      <c r="C57" s="2" t="s">
        <v>15</v>
      </c>
      <c r="D57" s="5">
        <v>46071</v>
      </c>
      <c r="E57" s="2" t="s">
        <v>49</v>
      </c>
      <c r="F57" s="2" t="s">
        <v>82</v>
      </c>
    </row>
    <row r="58" spans="1:6" hidden="1" x14ac:dyDescent="0.25">
      <c r="A58" s="2" t="s">
        <v>13</v>
      </c>
      <c r="B58" s="2" t="s">
        <v>87</v>
      </c>
      <c r="C58" s="2" t="s">
        <v>15</v>
      </c>
      <c r="D58" s="5">
        <v>46244</v>
      </c>
      <c r="E58" s="2" t="s">
        <v>49</v>
      </c>
      <c r="F58" s="2" t="s">
        <v>82</v>
      </c>
    </row>
    <row r="59" spans="1:6" hidden="1" x14ac:dyDescent="0.25">
      <c r="A59" s="2" t="s">
        <v>13</v>
      </c>
      <c r="B59" s="2" t="s">
        <v>88</v>
      </c>
      <c r="C59" s="2" t="s">
        <v>15</v>
      </c>
      <c r="D59" s="5">
        <v>46253</v>
      </c>
      <c r="E59" s="2" t="s">
        <v>49</v>
      </c>
      <c r="F59" s="2" t="s">
        <v>82</v>
      </c>
    </row>
    <row r="60" spans="1:6" hidden="1" x14ac:dyDescent="0.25">
      <c r="A60" s="2" t="s">
        <v>13</v>
      </c>
      <c r="B60" s="2" t="s">
        <v>89</v>
      </c>
      <c r="C60" s="2" t="s">
        <v>15</v>
      </c>
      <c r="D60" s="5">
        <v>43563</v>
      </c>
      <c r="E60" s="2" t="s">
        <v>49</v>
      </c>
      <c r="F60" s="2" t="s">
        <v>82</v>
      </c>
    </row>
    <row r="61" spans="1:6" hidden="1" x14ac:dyDescent="0.25">
      <c r="A61" s="2" t="s">
        <v>13</v>
      </c>
      <c r="B61" s="2" t="s">
        <v>90</v>
      </c>
      <c r="C61" s="2" t="s">
        <v>15</v>
      </c>
      <c r="D61" s="5">
        <v>45726</v>
      </c>
      <c r="E61" s="2" t="s">
        <v>49</v>
      </c>
      <c r="F61" s="2" t="s">
        <v>82</v>
      </c>
    </row>
    <row r="62" spans="1:6" hidden="1" x14ac:dyDescent="0.25">
      <c r="A62" s="2" t="s">
        <v>13</v>
      </c>
      <c r="B62" s="2" t="s">
        <v>91</v>
      </c>
      <c r="C62" s="2" t="s">
        <v>15</v>
      </c>
      <c r="D62" s="5">
        <v>46167</v>
      </c>
      <c r="E62" s="2" t="s">
        <v>49</v>
      </c>
      <c r="F62" s="2" t="s">
        <v>82</v>
      </c>
    </row>
    <row r="63" spans="1:6" hidden="1" x14ac:dyDescent="0.25">
      <c r="A63" s="2" t="s">
        <v>13</v>
      </c>
      <c r="B63" s="2" t="s">
        <v>92</v>
      </c>
      <c r="C63" s="2" t="s">
        <v>15</v>
      </c>
      <c r="D63" s="5">
        <v>46162</v>
      </c>
      <c r="E63" s="2" t="s">
        <v>49</v>
      </c>
      <c r="F63" s="2" t="s">
        <v>82</v>
      </c>
    </row>
    <row r="64" spans="1:6" hidden="1" x14ac:dyDescent="0.25">
      <c r="A64" s="2" t="s">
        <v>13</v>
      </c>
      <c r="B64" s="2" t="s">
        <v>93</v>
      </c>
      <c r="C64" s="2" t="s">
        <v>15</v>
      </c>
      <c r="D64" s="5">
        <v>46226</v>
      </c>
      <c r="E64" s="2" t="s">
        <v>49</v>
      </c>
      <c r="F64" s="2" t="s">
        <v>82</v>
      </c>
    </row>
    <row r="65" spans="1:6" hidden="1" x14ac:dyDescent="0.25">
      <c r="A65" s="2" t="s">
        <v>13</v>
      </c>
      <c r="B65" s="2" t="s">
        <v>94</v>
      </c>
      <c r="C65" s="2" t="s">
        <v>15</v>
      </c>
      <c r="D65" s="5">
        <v>46231</v>
      </c>
      <c r="E65" s="2" t="s">
        <v>49</v>
      </c>
      <c r="F65" s="2" t="s">
        <v>82</v>
      </c>
    </row>
    <row r="66" spans="1:6" hidden="1" x14ac:dyDescent="0.25">
      <c r="A66" s="2" t="s">
        <v>13</v>
      </c>
      <c r="B66" s="2" t="s">
        <v>95</v>
      </c>
      <c r="C66" s="2" t="s">
        <v>15</v>
      </c>
      <c r="D66" s="5">
        <v>46055</v>
      </c>
      <c r="E66" s="2" t="s">
        <v>49</v>
      </c>
      <c r="F66" s="2" t="s">
        <v>82</v>
      </c>
    </row>
    <row r="67" spans="1:6" hidden="1" x14ac:dyDescent="0.25">
      <c r="A67" s="2" t="s">
        <v>13</v>
      </c>
      <c r="B67" s="2" t="s">
        <v>96</v>
      </c>
      <c r="C67" s="2" t="s">
        <v>15</v>
      </c>
      <c r="D67" s="5">
        <v>46226</v>
      </c>
      <c r="E67" s="2" t="s">
        <v>49</v>
      </c>
      <c r="F67" s="2" t="s">
        <v>82</v>
      </c>
    </row>
    <row r="68" spans="1:6" hidden="1" x14ac:dyDescent="0.25">
      <c r="A68" s="2" t="s">
        <v>13</v>
      </c>
      <c r="B68" s="2" t="s">
        <v>97</v>
      </c>
      <c r="C68" s="2" t="s">
        <v>15</v>
      </c>
      <c r="D68" s="5">
        <v>46037</v>
      </c>
      <c r="E68" s="2" t="s">
        <v>49</v>
      </c>
      <c r="F68" s="2" t="s">
        <v>82</v>
      </c>
    </row>
    <row r="69" spans="1:6" hidden="1" x14ac:dyDescent="0.25">
      <c r="A69" s="2" t="s">
        <v>13</v>
      </c>
      <c r="B69" s="2" t="s">
        <v>98</v>
      </c>
      <c r="C69" s="2" t="s">
        <v>15</v>
      </c>
      <c r="D69" s="5">
        <v>45887</v>
      </c>
      <c r="E69" s="2" t="s">
        <v>49</v>
      </c>
      <c r="F69" s="2" t="s">
        <v>99</v>
      </c>
    </row>
    <row r="70" spans="1:6" x14ac:dyDescent="0.25">
      <c r="A70" s="2" t="s">
        <v>13</v>
      </c>
      <c r="B70" s="2" t="s">
        <v>100</v>
      </c>
      <c r="C70" s="2" t="s">
        <v>15</v>
      </c>
      <c r="D70" s="5">
        <v>45922</v>
      </c>
      <c r="E70" s="2" t="s">
        <v>49</v>
      </c>
      <c r="F70" s="2" t="s">
        <v>101</v>
      </c>
    </row>
    <row r="71" spans="1:6" x14ac:dyDescent="0.25">
      <c r="A71" s="2" t="s">
        <v>13</v>
      </c>
      <c r="B71" s="2" t="s">
        <v>102</v>
      </c>
      <c r="C71" s="2" t="s">
        <v>18</v>
      </c>
      <c r="D71" s="5">
        <v>43445</v>
      </c>
      <c r="E71" s="2" t="s">
        <v>49</v>
      </c>
      <c r="F71" s="2" t="s">
        <v>101</v>
      </c>
    </row>
    <row r="72" spans="1:6" x14ac:dyDescent="0.25">
      <c r="A72" s="2" t="s">
        <v>13</v>
      </c>
      <c r="B72" s="2" t="s">
        <v>103</v>
      </c>
      <c r="C72" s="2" t="s">
        <v>15</v>
      </c>
      <c r="D72" s="5">
        <v>46063</v>
      </c>
      <c r="E72" s="2" t="s">
        <v>49</v>
      </c>
      <c r="F72" s="2" t="s">
        <v>104</v>
      </c>
    </row>
    <row r="73" spans="1:6" x14ac:dyDescent="0.25">
      <c r="A73" s="2" t="s">
        <v>13</v>
      </c>
      <c r="B73" s="2" t="s">
        <v>105</v>
      </c>
      <c r="C73" s="2" t="s">
        <v>15</v>
      </c>
      <c r="D73" s="5">
        <v>46204</v>
      </c>
      <c r="E73" s="2" t="s">
        <v>49</v>
      </c>
      <c r="F73" s="2" t="s">
        <v>104</v>
      </c>
    </row>
    <row r="74" spans="1:6" x14ac:dyDescent="0.25">
      <c r="A74" s="2" t="s">
        <v>13</v>
      </c>
      <c r="B74" s="2" t="s">
        <v>106</v>
      </c>
      <c r="C74" s="2" t="s">
        <v>15</v>
      </c>
      <c r="D74" s="5">
        <v>45677</v>
      </c>
      <c r="E74" s="2" t="s">
        <v>49</v>
      </c>
      <c r="F74" s="2" t="s">
        <v>104</v>
      </c>
    </row>
    <row r="75" spans="1:6" x14ac:dyDescent="0.25">
      <c r="A75" s="2" t="s">
        <v>13</v>
      </c>
      <c r="B75" s="2" t="s">
        <v>107</v>
      </c>
      <c r="C75" s="2" t="s">
        <v>15</v>
      </c>
      <c r="D75" s="5">
        <v>46183</v>
      </c>
      <c r="E75" s="2" t="s">
        <v>49</v>
      </c>
      <c r="F75" s="2" t="s">
        <v>104</v>
      </c>
    </row>
    <row r="76" spans="1:6" x14ac:dyDescent="0.25">
      <c r="A76" s="2" t="s">
        <v>13</v>
      </c>
      <c r="B76" s="2" t="s">
        <v>108</v>
      </c>
      <c r="C76" s="2" t="s">
        <v>15</v>
      </c>
      <c r="D76" s="5">
        <v>45922</v>
      </c>
      <c r="E76" s="2" t="s">
        <v>49</v>
      </c>
      <c r="F76" s="2" t="s">
        <v>104</v>
      </c>
    </row>
    <row r="77" spans="1:6" x14ac:dyDescent="0.25">
      <c r="A77" s="2" t="s">
        <v>13</v>
      </c>
      <c r="B77" s="2" t="s">
        <v>109</v>
      </c>
      <c r="C77" s="2" t="s">
        <v>15</v>
      </c>
      <c r="D77" s="5">
        <v>45764</v>
      </c>
      <c r="E77" s="2" t="s">
        <v>49</v>
      </c>
      <c r="F77" s="2" t="s">
        <v>104</v>
      </c>
    </row>
    <row r="78" spans="1:6" x14ac:dyDescent="0.25">
      <c r="A78" s="2" t="s">
        <v>13</v>
      </c>
      <c r="B78" s="2" t="s">
        <v>110</v>
      </c>
      <c r="C78" s="2" t="s">
        <v>18</v>
      </c>
      <c r="D78" s="5">
        <v>44565</v>
      </c>
      <c r="E78" s="2" t="s">
        <v>49</v>
      </c>
      <c r="F78" s="2" t="s">
        <v>104</v>
      </c>
    </row>
    <row r="79" spans="1:6" x14ac:dyDescent="0.25">
      <c r="A79" s="2" t="s">
        <v>13</v>
      </c>
      <c r="B79" s="2" t="s">
        <v>111</v>
      </c>
      <c r="C79" s="2" t="s">
        <v>15</v>
      </c>
      <c r="D79" s="5">
        <v>45978</v>
      </c>
      <c r="E79" s="2" t="s">
        <v>49</v>
      </c>
      <c r="F79" s="2" t="s">
        <v>104</v>
      </c>
    </row>
    <row r="80" spans="1:6" x14ac:dyDescent="0.25">
      <c r="A80" s="2" t="s">
        <v>13</v>
      </c>
      <c r="B80" s="2" t="s">
        <v>112</v>
      </c>
      <c r="C80" s="2" t="s">
        <v>15</v>
      </c>
      <c r="D80" s="5">
        <v>46183</v>
      </c>
      <c r="E80" s="2" t="s">
        <v>49</v>
      </c>
      <c r="F80" s="2" t="s">
        <v>104</v>
      </c>
    </row>
    <row r="81" spans="1:6" x14ac:dyDescent="0.25">
      <c r="A81" s="2" t="s">
        <v>13</v>
      </c>
      <c r="B81" s="2" t="s">
        <v>113</v>
      </c>
      <c r="C81" s="2" t="s">
        <v>15</v>
      </c>
      <c r="D81" s="5">
        <v>46204</v>
      </c>
      <c r="E81" s="2" t="s">
        <v>49</v>
      </c>
      <c r="F81" s="2" t="s">
        <v>104</v>
      </c>
    </row>
    <row r="82" spans="1:6" x14ac:dyDescent="0.25">
      <c r="A82" s="2" t="s">
        <v>13</v>
      </c>
      <c r="B82" s="2" t="s">
        <v>114</v>
      </c>
      <c r="C82" s="2" t="s">
        <v>15</v>
      </c>
      <c r="D82" s="5">
        <v>46188</v>
      </c>
      <c r="E82" s="2" t="s">
        <v>49</v>
      </c>
      <c r="F82" s="2" t="s">
        <v>104</v>
      </c>
    </row>
    <row r="83" spans="1:6" x14ac:dyDescent="0.25">
      <c r="A83" s="2" t="s">
        <v>13</v>
      </c>
      <c r="B83" s="2" t="s">
        <v>115</v>
      </c>
      <c r="C83" s="2" t="s">
        <v>15</v>
      </c>
      <c r="D83" s="5">
        <v>46056</v>
      </c>
      <c r="E83" s="2" t="s">
        <v>49</v>
      </c>
      <c r="F83" s="2" t="s">
        <v>104</v>
      </c>
    </row>
    <row r="84" spans="1:6" x14ac:dyDescent="0.25">
      <c r="A84" s="2" t="s">
        <v>13</v>
      </c>
      <c r="B84" s="2" t="s">
        <v>116</v>
      </c>
      <c r="C84" s="2" t="s">
        <v>15</v>
      </c>
      <c r="D84" s="5">
        <v>46188</v>
      </c>
      <c r="E84" s="2" t="s">
        <v>49</v>
      </c>
      <c r="F84" s="2" t="s">
        <v>104</v>
      </c>
    </row>
    <row r="85" spans="1:6" x14ac:dyDescent="0.25">
      <c r="A85" s="2" t="s">
        <v>13</v>
      </c>
      <c r="B85" s="2" t="s">
        <v>117</v>
      </c>
      <c r="C85" s="2" t="s">
        <v>15</v>
      </c>
      <c r="D85" s="5">
        <v>36892</v>
      </c>
      <c r="E85" s="2" t="s">
        <v>49</v>
      </c>
      <c r="F85" s="2" t="s">
        <v>118</v>
      </c>
    </row>
    <row r="86" spans="1:6" x14ac:dyDescent="0.25">
      <c r="A86" s="2" t="s">
        <v>13</v>
      </c>
      <c r="B86" s="2" t="s">
        <v>119</v>
      </c>
      <c r="C86" s="2" t="s">
        <v>15</v>
      </c>
      <c r="D86" s="5">
        <v>37043</v>
      </c>
      <c r="E86" s="2" t="s">
        <v>49</v>
      </c>
      <c r="F86" s="2" t="s">
        <v>118</v>
      </c>
    </row>
    <row r="87" spans="1:6" x14ac:dyDescent="0.25">
      <c r="A87" s="2" t="s">
        <v>13</v>
      </c>
      <c r="B87" s="2" t="s">
        <v>120</v>
      </c>
      <c r="C87" s="2" t="s">
        <v>15</v>
      </c>
      <c r="D87" s="5">
        <v>41239</v>
      </c>
      <c r="E87" s="2" t="s">
        <v>49</v>
      </c>
      <c r="F87" s="2" t="s">
        <v>118</v>
      </c>
    </row>
    <row r="88" spans="1:6" x14ac:dyDescent="0.25">
      <c r="A88" s="2" t="s">
        <v>13</v>
      </c>
      <c r="B88" s="2" t="s">
        <v>121</v>
      </c>
      <c r="C88" s="2" t="s">
        <v>15</v>
      </c>
      <c r="D88" s="5">
        <v>43563</v>
      </c>
      <c r="E88" s="2" t="s">
        <v>49</v>
      </c>
      <c r="F88" s="2" t="s">
        <v>118</v>
      </c>
    </row>
    <row r="89" spans="1:6" x14ac:dyDescent="0.25">
      <c r="A89" s="2" t="s">
        <v>13</v>
      </c>
      <c r="B89" s="2" t="s">
        <v>122</v>
      </c>
      <c r="C89" s="2" t="s">
        <v>15</v>
      </c>
      <c r="D89" s="5">
        <v>44229</v>
      </c>
      <c r="E89" s="2" t="s">
        <v>49</v>
      </c>
      <c r="F89" s="2" t="s">
        <v>118</v>
      </c>
    </row>
    <row r="90" spans="1:6" x14ac:dyDescent="0.25">
      <c r="A90" s="2" t="s">
        <v>13</v>
      </c>
      <c r="B90" s="2" t="s">
        <v>123</v>
      </c>
      <c r="C90" s="2" t="s">
        <v>15</v>
      </c>
      <c r="D90" s="5">
        <v>44328</v>
      </c>
      <c r="E90" s="2" t="s">
        <v>49</v>
      </c>
      <c r="F90" s="2" t="s">
        <v>118</v>
      </c>
    </row>
    <row r="91" spans="1:6" x14ac:dyDescent="0.25">
      <c r="A91" s="2" t="s">
        <v>13</v>
      </c>
      <c r="B91" s="2" t="s">
        <v>124</v>
      </c>
      <c r="C91" s="2" t="s">
        <v>15</v>
      </c>
      <c r="D91" s="5">
        <v>38887</v>
      </c>
      <c r="E91" s="2" t="s">
        <v>49</v>
      </c>
      <c r="F91" s="2" t="s">
        <v>118</v>
      </c>
    </row>
    <row r="92" spans="1:6" x14ac:dyDescent="0.25">
      <c r="A92" s="2" t="s">
        <v>13</v>
      </c>
      <c r="B92" s="2" t="s">
        <v>125</v>
      </c>
      <c r="C92" s="2" t="s">
        <v>15</v>
      </c>
      <c r="D92" s="5">
        <v>39022</v>
      </c>
      <c r="E92" s="2" t="s">
        <v>49</v>
      </c>
      <c r="F92" s="2" t="s">
        <v>118</v>
      </c>
    </row>
    <row r="93" spans="1:6" x14ac:dyDescent="0.25">
      <c r="A93" s="2" t="s">
        <v>13</v>
      </c>
      <c r="B93" s="2" t="s">
        <v>126</v>
      </c>
      <c r="C93" s="2" t="s">
        <v>15</v>
      </c>
      <c r="D93" s="5">
        <v>45124</v>
      </c>
      <c r="E93" s="2" t="s">
        <v>49</v>
      </c>
      <c r="F93" s="2" t="s">
        <v>118</v>
      </c>
    </row>
    <row r="94" spans="1:6" x14ac:dyDescent="0.25">
      <c r="A94" s="2" t="s">
        <v>13</v>
      </c>
      <c r="B94" s="2" t="s">
        <v>127</v>
      </c>
      <c r="C94" s="2" t="s">
        <v>15</v>
      </c>
      <c r="D94" s="5">
        <v>44593</v>
      </c>
      <c r="E94" s="2" t="s">
        <v>49</v>
      </c>
      <c r="F94" s="2" t="s">
        <v>118</v>
      </c>
    </row>
    <row r="95" spans="1:6" x14ac:dyDescent="0.25">
      <c r="A95" s="2" t="s">
        <v>13</v>
      </c>
      <c r="B95" s="2" t="s">
        <v>128</v>
      </c>
      <c r="C95" s="2" t="s">
        <v>15</v>
      </c>
      <c r="D95" s="5">
        <v>43361</v>
      </c>
      <c r="E95" s="2" t="s">
        <v>49</v>
      </c>
      <c r="F95" s="2" t="s">
        <v>118</v>
      </c>
    </row>
    <row r="96" spans="1:6" x14ac:dyDescent="0.25">
      <c r="A96" s="2" t="s">
        <v>13</v>
      </c>
      <c r="B96" s="2" t="s">
        <v>129</v>
      </c>
      <c r="C96" s="2" t="s">
        <v>15</v>
      </c>
      <c r="D96" s="5">
        <v>44872</v>
      </c>
      <c r="E96" s="2" t="s">
        <v>49</v>
      </c>
      <c r="F96" s="2" t="s">
        <v>118</v>
      </c>
    </row>
    <row r="97" spans="1:6" x14ac:dyDescent="0.25">
      <c r="A97" s="2" t="s">
        <v>13</v>
      </c>
      <c r="B97" s="2" t="s">
        <v>130</v>
      </c>
      <c r="C97" s="2" t="s">
        <v>15</v>
      </c>
      <c r="D97" s="5">
        <v>45027</v>
      </c>
      <c r="E97" s="2" t="s">
        <v>49</v>
      </c>
      <c r="F97" s="2" t="s">
        <v>118</v>
      </c>
    </row>
    <row r="98" spans="1:6" x14ac:dyDescent="0.25">
      <c r="A98" s="2" t="s">
        <v>13</v>
      </c>
      <c r="B98" s="2" t="s">
        <v>131</v>
      </c>
      <c r="C98" s="2" t="s">
        <v>15</v>
      </c>
      <c r="D98" s="5">
        <v>45166</v>
      </c>
      <c r="E98" s="2" t="s">
        <v>49</v>
      </c>
      <c r="F98" s="2" t="s">
        <v>118</v>
      </c>
    </row>
    <row r="99" spans="1:6" x14ac:dyDescent="0.25">
      <c r="A99" s="2" t="s">
        <v>13</v>
      </c>
      <c r="B99" s="2" t="s">
        <v>132</v>
      </c>
      <c r="C99" s="2" t="s">
        <v>15</v>
      </c>
      <c r="D99" s="5">
        <v>40043</v>
      </c>
      <c r="E99" s="2" t="s">
        <v>49</v>
      </c>
      <c r="F99" s="2" t="s">
        <v>118</v>
      </c>
    </row>
    <row r="100" spans="1:6" x14ac:dyDescent="0.25">
      <c r="A100" s="2" t="s">
        <v>13</v>
      </c>
      <c r="B100" s="2" t="s">
        <v>133</v>
      </c>
      <c r="C100" s="2" t="s">
        <v>15</v>
      </c>
      <c r="D100" s="5">
        <v>45810</v>
      </c>
      <c r="E100" s="2" t="s">
        <v>49</v>
      </c>
      <c r="F100" s="2" t="s">
        <v>118</v>
      </c>
    </row>
    <row r="101" spans="1:6" x14ac:dyDescent="0.25">
      <c r="A101" s="2" t="s">
        <v>13</v>
      </c>
      <c r="B101" s="2" t="s">
        <v>134</v>
      </c>
      <c r="C101" s="2" t="s">
        <v>15</v>
      </c>
      <c r="D101" s="5">
        <v>45124</v>
      </c>
      <c r="E101" s="2" t="s">
        <v>49</v>
      </c>
      <c r="F101" s="2" t="s">
        <v>118</v>
      </c>
    </row>
    <row r="102" spans="1:6" x14ac:dyDescent="0.25">
      <c r="A102" s="2" t="s">
        <v>13</v>
      </c>
      <c r="B102" s="2" t="s">
        <v>135</v>
      </c>
      <c r="C102" s="2" t="s">
        <v>15</v>
      </c>
      <c r="D102" s="5">
        <v>37987</v>
      </c>
      <c r="E102" s="2" t="s">
        <v>49</v>
      </c>
      <c r="F102" s="2" t="s">
        <v>118</v>
      </c>
    </row>
    <row r="103" spans="1:6" x14ac:dyDescent="0.25">
      <c r="A103" s="2" t="s">
        <v>13</v>
      </c>
      <c r="B103" s="2" t="s">
        <v>136</v>
      </c>
      <c r="C103" s="2" t="s">
        <v>15</v>
      </c>
      <c r="D103" s="5">
        <v>37561</v>
      </c>
      <c r="E103" s="2" t="s">
        <v>49</v>
      </c>
      <c r="F103" s="2" t="s">
        <v>118</v>
      </c>
    </row>
    <row r="104" spans="1:6" x14ac:dyDescent="0.25">
      <c r="A104" s="2" t="s">
        <v>13</v>
      </c>
      <c r="B104" s="2" t="s">
        <v>137</v>
      </c>
      <c r="C104" s="2" t="s">
        <v>15</v>
      </c>
      <c r="D104" s="5">
        <v>45222</v>
      </c>
      <c r="E104" s="2" t="s">
        <v>49</v>
      </c>
      <c r="F104" s="2" t="s">
        <v>118</v>
      </c>
    </row>
    <row r="105" spans="1:6" hidden="1" x14ac:dyDescent="0.25">
      <c r="A105" s="2" t="s">
        <v>16</v>
      </c>
      <c r="B105" s="2" t="s">
        <v>138</v>
      </c>
      <c r="C105" s="2" t="s">
        <v>17</v>
      </c>
      <c r="D105" s="5">
        <v>36983</v>
      </c>
      <c r="E105" s="2" t="s">
        <v>45</v>
      </c>
      <c r="F105" s="2" t="s">
        <v>139</v>
      </c>
    </row>
    <row r="106" spans="1:6" hidden="1" x14ac:dyDescent="0.25">
      <c r="A106" s="2" t="s">
        <v>16</v>
      </c>
      <c r="B106" s="2" t="s">
        <v>140</v>
      </c>
      <c r="C106" s="2" t="s">
        <v>17</v>
      </c>
      <c r="D106" s="5">
        <v>45474</v>
      </c>
      <c r="E106" s="2" t="s">
        <v>49</v>
      </c>
      <c r="F106" s="2" t="s">
        <v>141</v>
      </c>
    </row>
    <row r="107" spans="1:6" hidden="1" x14ac:dyDescent="0.25">
      <c r="A107" s="2" t="s">
        <v>16</v>
      </c>
      <c r="B107" s="2" t="s">
        <v>142</v>
      </c>
      <c r="C107" s="2" t="s">
        <v>17</v>
      </c>
      <c r="D107" s="5">
        <v>42156</v>
      </c>
      <c r="E107" s="2" t="s">
        <v>45</v>
      </c>
      <c r="F107" s="2" t="s">
        <v>143</v>
      </c>
    </row>
    <row r="108" spans="1:6" hidden="1" x14ac:dyDescent="0.25">
      <c r="A108" s="2" t="s">
        <v>16</v>
      </c>
      <c r="B108" s="2" t="s">
        <v>144</v>
      </c>
      <c r="C108" s="2" t="s">
        <v>17</v>
      </c>
      <c r="D108" s="5">
        <v>46258</v>
      </c>
      <c r="E108" s="2" t="s">
        <v>49</v>
      </c>
      <c r="F108" s="2" t="s">
        <v>145</v>
      </c>
    </row>
    <row r="109" spans="1:6" hidden="1" x14ac:dyDescent="0.25">
      <c r="A109" s="2" t="s">
        <v>16</v>
      </c>
      <c r="B109" s="2" t="s">
        <v>146</v>
      </c>
      <c r="C109" s="2" t="s">
        <v>17</v>
      </c>
      <c r="D109" s="5">
        <v>43741</v>
      </c>
      <c r="E109" s="2" t="s">
        <v>49</v>
      </c>
      <c r="F109" s="2" t="s">
        <v>145</v>
      </c>
    </row>
    <row r="110" spans="1:6" hidden="1" x14ac:dyDescent="0.25">
      <c r="A110" s="2" t="s">
        <v>16</v>
      </c>
      <c r="B110" s="2" t="s">
        <v>147</v>
      </c>
      <c r="C110" s="2" t="s">
        <v>17</v>
      </c>
      <c r="D110" s="5">
        <v>45363</v>
      </c>
      <c r="E110" s="2" t="s">
        <v>45</v>
      </c>
      <c r="F110" s="2" t="s">
        <v>148</v>
      </c>
    </row>
    <row r="111" spans="1:6" hidden="1" x14ac:dyDescent="0.25">
      <c r="A111" s="2" t="s">
        <v>16</v>
      </c>
      <c r="B111" s="2" t="s">
        <v>149</v>
      </c>
      <c r="C111" s="2" t="s">
        <v>17</v>
      </c>
      <c r="D111" s="5">
        <v>45987</v>
      </c>
      <c r="E111" s="2" t="s">
        <v>45</v>
      </c>
      <c r="F111" s="2" t="s">
        <v>148</v>
      </c>
    </row>
    <row r="112" spans="1:6" hidden="1" x14ac:dyDescent="0.25">
      <c r="A112" s="2" t="s">
        <v>16</v>
      </c>
      <c r="B112" s="2" t="s">
        <v>150</v>
      </c>
      <c r="C112" s="2" t="s">
        <v>17</v>
      </c>
      <c r="D112" s="5">
        <v>44760</v>
      </c>
      <c r="E112" s="2" t="s">
        <v>45</v>
      </c>
      <c r="F112" s="2" t="s">
        <v>148</v>
      </c>
    </row>
    <row r="113" spans="1:6" hidden="1" x14ac:dyDescent="0.25">
      <c r="A113" s="2" t="s">
        <v>16</v>
      </c>
      <c r="B113" s="2" t="s">
        <v>151</v>
      </c>
      <c r="C113" s="2" t="s">
        <v>17</v>
      </c>
      <c r="D113" s="5">
        <v>45070</v>
      </c>
      <c r="E113" s="2" t="s">
        <v>45</v>
      </c>
      <c r="F113" s="2" t="s">
        <v>148</v>
      </c>
    </row>
    <row r="114" spans="1:6" hidden="1" x14ac:dyDescent="0.25">
      <c r="A114" s="2" t="s">
        <v>16</v>
      </c>
      <c r="B114" s="2" t="s">
        <v>152</v>
      </c>
      <c r="C114" s="2" t="s">
        <v>17</v>
      </c>
      <c r="D114" s="5">
        <v>46251</v>
      </c>
      <c r="E114" s="2" t="s">
        <v>49</v>
      </c>
      <c r="F114" s="2" t="s">
        <v>153</v>
      </c>
    </row>
    <row r="115" spans="1:6" hidden="1" x14ac:dyDescent="0.25">
      <c r="A115" s="2" t="s">
        <v>16</v>
      </c>
      <c r="B115" s="2" t="s">
        <v>154</v>
      </c>
      <c r="C115" s="2" t="s">
        <v>17</v>
      </c>
      <c r="D115" s="5">
        <v>44594</v>
      </c>
      <c r="E115" s="2" t="s">
        <v>45</v>
      </c>
      <c r="F115" s="2" t="s">
        <v>155</v>
      </c>
    </row>
    <row r="116" spans="1:6" hidden="1" x14ac:dyDescent="0.25">
      <c r="A116" s="2" t="s">
        <v>16</v>
      </c>
      <c r="B116" s="2" t="s">
        <v>156</v>
      </c>
      <c r="C116" s="2" t="s">
        <v>17</v>
      </c>
      <c r="D116" s="5">
        <v>45817</v>
      </c>
      <c r="E116" s="2" t="s">
        <v>45</v>
      </c>
      <c r="F116" s="2" t="s">
        <v>157</v>
      </c>
    </row>
    <row r="117" spans="1:6" hidden="1" x14ac:dyDescent="0.25">
      <c r="A117" s="2" t="s">
        <v>16</v>
      </c>
      <c r="B117" s="2" t="s">
        <v>158</v>
      </c>
      <c r="C117" s="2" t="s">
        <v>17</v>
      </c>
      <c r="D117" s="5">
        <v>38139</v>
      </c>
      <c r="E117" s="2" t="s">
        <v>45</v>
      </c>
      <c r="F117" s="2" t="s">
        <v>159</v>
      </c>
    </row>
    <row r="118" spans="1:6" hidden="1" x14ac:dyDescent="0.25">
      <c r="A118" s="2" t="s">
        <v>16</v>
      </c>
      <c r="B118" s="2" t="s">
        <v>160</v>
      </c>
      <c r="C118" s="2" t="s">
        <v>17</v>
      </c>
      <c r="D118" s="5">
        <v>46153</v>
      </c>
      <c r="E118" s="2" t="s">
        <v>49</v>
      </c>
      <c r="F118" s="2" t="s">
        <v>161</v>
      </c>
    </row>
    <row r="119" spans="1:6" hidden="1" x14ac:dyDescent="0.25">
      <c r="A119" s="2" t="s">
        <v>16</v>
      </c>
      <c r="B119" s="2" t="s">
        <v>162</v>
      </c>
      <c r="C119" s="2" t="s">
        <v>17</v>
      </c>
      <c r="D119" s="5">
        <v>45754</v>
      </c>
      <c r="E119" s="2" t="s">
        <v>45</v>
      </c>
      <c r="F119" s="2" t="s">
        <v>163</v>
      </c>
    </row>
    <row r="120" spans="1:6" hidden="1" x14ac:dyDescent="0.25">
      <c r="A120" s="2" t="s">
        <v>16</v>
      </c>
      <c r="B120" s="2" t="s">
        <v>164</v>
      </c>
      <c r="C120" s="2" t="s">
        <v>17</v>
      </c>
      <c r="D120" s="5">
        <v>37288</v>
      </c>
      <c r="E120" s="2" t="s">
        <v>49</v>
      </c>
      <c r="F120" s="2" t="s">
        <v>165</v>
      </c>
    </row>
    <row r="121" spans="1:6" hidden="1" x14ac:dyDescent="0.25">
      <c r="A121" s="2" t="s">
        <v>16</v>
      </c>
      <c r="B121" s="2" t="s">
        <v>166</v>
      </c>
      <c r="C121" s="2" t="s">
        <v>17</v>
      </c>
      <c r="D121" s="5">
        <v>46128</v>
      </c>
      <c r="E121" s="2" t="s">
        <v>49</v>
      </c>
      <c r="F121" s="2" t="s">
        <v>58</v>
      </c>
    </row>
    <row r="122" spans="1:6" hidden="1" x14ac:dyDescent="0.25">
      <c r="A122" s="2" t="s">
        <v>16</v>
      </c>
      <c r="B122" s="2" t="s">
        <v>167</v>
      </c>
      <c r="C122" s="2" t="s">
        <v>17</v>
      </c>
      <c r="D122" s="5">
        <v>46251</v>
      </c>
      <c r="E122" s="2" t="s">
        <v>49</v>
      </c>
      <c r="F122" s="2" t="s">
        <v>58</v>
      </c>
    </row>
    <row r="123" spans="1:6" hidden="1" x14ac:dyDescent="0.25">
      <c r="A123" s="2" t="s">
        <v>16</v>
      </c>
      <c r="B123" s="2" t="s">
        <v>168</v>
      </c>
      <c r="C123" s="2" t="s">
        <v>17</v>
      </c>
      <c r="D123" s="5">
        <v>46190</v>
      </c>
      <c r="E123" s="2" t="s">
        <v>49</v>
      </c>
      <c r="F123" s="2" t="s">
        <v>58</v>
      </c>
    </row>
    <row r="124" spans="1:6" hidden="1" x14ac:dyDescent="0.25">
      <c r="A124" s="2" t="s">
        <v>16</v>
      </c>
      <c r="B124" s="2" t="s">
        <v>169</v>
      </c>
      <c r="C124" s="2" t="s">
        <v>17</v>
      </c>
      <c r="D124" s="5">
        <v>42219</v>
      </c>
      <c r="E124" s="2" t="s">
        <v>45</v>
      </c>
      <c r="F124" s="2" t="s">
        <v>170</v>
      </c>
    </row>
    <row r="125" spans="1:6" hidden="1" x14ac:dyDescent="0.25">
      <c r="A125" s="2" t="s">
        <v>16</v>
      </c>
      <c r="B125" s="2" t="s">
        <v>171</v>
      </c>
      <c r="C125" s="2" t="s">
        <v>18</v>
      </c>
      <c r="D125" s="5">
        <v>41457</v>
      </c>
      <c r="E125" s="2" t="s">
        <v>49</v>
      </c>
      <c r="F125" s="2" t="s">
        <v>172</v>
      </c>
    </row>
    <row r="126" spans="1:6" hidden="1" x14ac:dyDescent="0.25">
      <c r="A126" s="2" t="s">
        <v>16</v>
      </c>
      <c r="B126" s="2" t="s">
        <v>173</v>
      </c>
      <c r="C126" s="2" t="s">
        <v>18</v>
      </c>
      <c r="D126" s="5">
        <v>41715</v>
      </c>
      <c r="E126" s="2" t="s">
        <v>49</v>
      </c>
      <c r="F126" s="2" t="s">
        <v>62</v>
      </c>
    </row>
    <row r="127" spans="1:6" hidden="1" x14ac:dyDescent="0.25">
      <c r="A127" s="2" t="s">
        <v>16</v>
      </c>
      <c r="B127" s="2" t="s">
        <v>174</v>
      </c>
      <c r="C127" s="2" t="s">
        <v>18</v>
      </c>
      <c r="D127" s="5">
        <v>41913</v>
      </c>
      <c r="E127" s="2" t="s">
        <v>49</v>
      </c>
      <c r="F127" s="2" t="s">
        <v>62</v>
      </c>
    </row>
    <row r="128" spans="1:6" hidden="1" x14ac:dyDescent="0.25">
      <c r="A128" s="2" t="s">
        <v>16</v>
      </c>
      <c r="B128" s="2" t="s">
        <v>175</v>
      </c>
      <c r="C128" s="2" t="s">
        <v>18</v>
      </c>
      <c r="D128" s="5">
        <v>40210</v>
      </c>
      <c r="E128" s="2" t="s">
        <v>49</v>
      </c>
      <c r="F128" s="2" t="s">
        <v>176</v>
      </c>
    </row>
    <row r="129" spans="1:6" hidden="1" x14ac:dyDescent="0.25">
      <c r="A129" s="2" t="s">
        <v>16</v>
      </c>
      <c r="B129" s="2" t="s">
        <v>177</v>
      </c>
      <c r="C129" s="2" t="s">
        <v>19</v>
      </c>
      <c r="D129" s="5">
        <v>46041</v>
      </c>
      <c r="E129" s="2" t="s">
        <v>49</v>
      </c>
      <c r="F129" s="2" t="s">
        <v>178</v>
      </c>
    </row>
    <row r="130" spans="1:6" hidden="1" x14ac:dyDescent="0.25">
      <c r="A130" s="2" t="s">
        <v>16</v>
      </c>
      <c r="B130" s="2" t="s">
        <v>179</v>
      </c>
      <c r="C130" s="2" t="s">
        <v>19</v>
      </c>
      <c r="D130" s="5">
        <v>46024</v>
      </c>
      <c r="E130" s="2" t="s">
        <v>49</v>
      </c>
      <c r="F130" s="2" t="s">
        <v>178</v>
      </c>
    </row>
    <row r="131" spans="1:6" hidden="1" x14ac:dyDescent="0.25">
      <c r="A131" s="2" t="s">
        <v>16</v>
      </c>
      <c r="B131" s="2" t="s">
        <v>180</v>
      </c>
      <c r="C131" s="2" t="s">
        <v>19</v>
      </c>
      <c r="D131" s="5">
        <v>46148</v>
      </c>
      <c r="E131" s="2" t="s">
        <v>49</v>
      </c>
      <c r="F131" s="2" t="s">
        <v>178</v>
      </c>
    </row>
    <row r="132" spans="1:6" hidden="1" x14ac:dyDescent="0.25">
      <c r="A132" s="2" t="s">
        <v>16</v>
      </c>
      <c r="B132" s="2" t="s">
        <v>181</v>
      </c>
      <c r="C132" s="2" t="s">
        <v>19</v>
      </c>
      <c r="D132" s="5">
        <v>46258</v>
      </c>
      <c r="E132" s="2" t="s">
        <v>49</v>
      </c>
      <c r="F132" s="2" t="s">
        <v>178</v>
      </c>
    </row>
    <row r="133" spans="1:6" hidden="1" x14ac:dyDescent="0.25">
      <c r="A133" s="2" t="s">
        <v>16</v>
      </c>
      <c r="B133" s="2" t="s">
        <v>182</v>
      </c>
      <c r="C133" s="2" t="s">
        <v>20</v>
      </c>
      <c r="D133" s="5">
        <v>39846</v>
      </c>
      <c r="E133" s="2" t="s">
        <v>45</v>
      </c>
      <c r="F133" s="2" t="s">
        <v>183</v>
      </c>
    </row>
    <row r="134" spans="1:6" hidden="1" x14ac:dyDescent="0.25">
      <c r="A134" s="2" t="s">
        <v>16</v>
      </c>
      <c r="B134" s="2" t="s">
        <v>184</v>
      </c>
      <c r="C134" s="2" t="s">
        <v>21</v>
      </c>
      <c r="D134" s="5">
        <v>45985</v>
      </c>
      <c r="E134" s="2" t="s">
        <v>49</v>
      </c>
      <c r="F134" s="2" t="s">
        <v>185</v>
      </c>
    </row>
    <row r="135" spans="1:6" hidden="1" x14ac:dyDescent="0.25">
      <c r="A135" s="2" t="s">
        <v>16</v>
      </c>
      <c r="B135" s="2" t="s">
        <v>186</v>
      </c>
      <c r="C135" s="2" t="s">
        <v>21</v>
      </c>
      <c r="D135" s="5">
        <v>43271</v>
      </c>
      <c r="E135" s="2" t="s">
        <v>49</v>
      </c>
      <c r="F135" s="2" t="s">
        <v>187</v>
      </c>
    </row>
    <row r="136" spans="1:6" hidden="1" x14ac:dyDescent="0.25">
      <c r="A136" s="2" t="s">
        <v>16</v>
      </c>
      <c r="B136" s="2" t="s">
        <v>188</v>
      </c>
      <c r="C136" s="2" t="s">
        <v>21</v>
      </c>
      <c r="D136" s="5">
        <v>45665</v>
      </c>
      <c r="E136" s="2" t="s">
        <v>49</v>
      </c>
      <c r="F136" s="2" t="s">
        <v>189</v>
      </c>
    </row>
    <row r="137" spans="1:6" hidden="1" x14ac:dyDescent="0.25">
      <c r="A137" s="2" t="s">
        <v>16</v>
      </c>
      <c r="B137" s="2" t="s">
        <v>190</v>
      </c>
      <c r="C137" s="2" t="s">
        <v>21</v>
      </c>
      <c r="D137" s="5">
        <v>45343</v>
      </c>
      <c r="E137" s="2" t="s">
        <v>49</v>
      </c>
      <c r="F137" s="2" t="s">
        <v>189</v>
      </c>
    </row>
    <row r="138" spans="1:6" hidden="1" x14ac:dyDescent="0.25">
      <c r="A138" s="2" t="s">
        <v>16</v>
      </c>
      <c r="B138" s="2" t="s">
        <v>191</v>
      </c>
      <c r="C138" s="2" t="s">
        <v>21</v>
      </c>
      <c r="D138" s="5">
        <v>45558</v>
      </c>
      <c r="E138" s="2" t="s">
        <v>45</v>
      </c>
      <c r="F138" s="2" t="s">
        <v>192</v>
      </c>
    </row>
    <row r="139" spans="1:6" hidden="1" x14ac:dyDescent="0.25">
      <c r="A139" s="2" t="s">
        <v>16</v>
      </c>
      <c r="B139" s="2" t="s">
        <v>193</v>
      </c>
      <c r="C139" s="2" t="s">
        <v>21</v>
      </c>
      <c r="D139" s="5">
        <v>45761</v>
      </c>
      <c r="E139" s="2" t="s">
        <v>45</v>
      </c>
      <c r="F139" s="2" t="s">
        <v>194</v>
      </c>
    </row>
    <row r="140" spans="1:6" hidden="1" x14ac:dyDescent="0.25">
      <c r="A140" s="2" t="s">
        <v>16</v>
      </c>
      <c r="B140" s="2" t="s">
        <v>195</v>
      </c>
      <c r="C140" s="2" t="s">
        <v>21</v>
      </c>
      <c r="D140" s="5">
        <v>45782</v>
      </c>
      <c r="E140" s="2" t="s">
        <v>49</v>
      </c>
      <c r="F140" s="2" t="s">
        <v>194</v>
      </c>
    </row>
    <row r="141" spans="1:6" hidden="1" x14ac:dyDescent="0.25">
      <c r="A141" s="2" t="s">
        <v>16</v>
      </c>
      <c r="B141" s="2" t="s">
        <v>196</v>
      </c>
      <c r="C141" s="2" t="s">
        <v>21</v>
      </c>
      <c r="D141" s="5">
        <v>43563</v>
      </c>
      <c r="E141" s="2" t="s">
        <v>49</v>
      </c>
      <c r="F141" s="2" t="s">
        <v>197</v>
      </c>
    </row>
    <row r="142" spans="1:6" hidden="1" x14ac:dyDescent="0.25">
      <c r="A142" s="2" t="s">
        <v>16</v>
      </c>
      <c r="B142" s="2" t="s">
        <v>198</v>
      </c>
      <c r="C142" s="2" t="s">
        <v>21</v>
      </c>
      <c r="D142" s="5">
        <v>42017</v>
      </c>
      <c r="E142" s="2" t="s">
        <v>49</v>
      </c>
      <c r="F142" s="2" t="s">
        <v>197</v>
      </c>
    </row>
    <row r="143" spans="1:6" hidden="1" x14ac:dyDescent="0.25">
      <c r="A143" s="2" t="s">
        <v>16</v>
      </c>
      <c r="B143" s="2" t="s">
        <v>199</v>
      </c>
      <c r="C143" s="2" t="s">
        <v>21</v>
      </c>
      <c r="D143" s="5">
        <v>37347</v>
      </c>
      <c r="E143" s="2" t="s">
        <v>49</v>
      </c>
      <c r="F143" s="2" t="s">
        <v>197</v>
      </c>
    </row>
    <row r="144" spans="1:6" hidden="1" x14ac:dyDescent="0.25">
      <c r="A144" s="2" t="s">
        <v>16</v>
      </c>
      <c r="B144" s="2" t="s">
        <v>200</v>
      </c>
      <c r="C144" s="2" t="s">
        <v>21</v>
      </c>
      <c r="D144" s="5">
        <v>45281</v>
      </c>
      <c r="E144" s="2" t="s">
        <v>49</v>
      </c>
      <c r="F144" s="2" t="s">
        <v>197</v>
      </c>
    </row>
    <row r="145" spans="1:6" hidden="1" x14ac:dyDescent="0.25">
      <c r="A145" s="2" t="s">
        <v>16</v>
      </c>
      <c r="B145" s="2" t="s">
        <v>201</v>
      </c>
      <c r="C145" s="2" t="s">
        <v>21</v>
      </c>
      <c r="D145" s="5">
        <v>45034</v>
      </c>
      <c r="E145" s="2" t="s">
        <v>49</v>
      </c>
      <c r="F145" s="2" t="s">
        <v>202</v>
      </c>
    </row>
    <row r="146" spans="1:6" hidden="1" x14ac:dyDescent="0.25">
      <c r="A146" s="2" t="s">
        <v>16</v>
      </c>
      <c r="B146" s="2" t="s">
        <v>203</v>
      </c>
      <c r="C146" s="2" t="s">
        <v>21</v>
      </c>
      <c r="D146" s="5">
        <v>45782</v>
      </c>
      <c r="E146" s="2" t="s">
        <v>49</v>
      </c>
      <c r="F146" s="2" t="s">
        <v>202</v>
      </c>
    </row>
    <row r="147" spans="1:6" hidden="1" x14ac:dyDescent="0.25">
      <c r="A147" s="2" t="s">
        <v>16</v>
      </c>
      <c r="B147" s="2" t="s">
        <v>204</v>
      </c>
      <c r="C147" s="2" t="s">
        <v>21</v>
      </c>
      <c r="D147" s="5">
        <v>36982</v>
      </c>
      <c r="E147" s="2" t="s">
        <v>49</v>
      </c>
      <c r="F147" s="2" t="s">
        <v>205</v>
      </c>
    </row>
    <row r="148" spans="1:6" hidden="1" x14ac:dyDescent="0.25">
      <c r="A148" s="2" t="s">
        <v>16</v>
      </c>
      <c r="B148" s="2" t="s">
        <v>206</v>
      </c>
      <c r="C148" s="2" t="s">
        <v>21</v>
      </c>
      <c r="D148" s="5">
        <v>40910</v>
      </c>
      <c r="E148" s="2" t="s">
        <v>49</v>
      </c>
      <c r="F148" s="2" t="s">
        <v>207</v>
      </c>
    </row>
    <row r="149" spans="1:6" hidden="1" x14ac:dyDescent="0.25">
      <c r="A149" s="2" t="s">
        <v>16</v>
      </c>
      <c r="B149" s="2" t="s">
        <v>208</v>
      </c>
      <c r="C149" s="2" t="s">
        <v>21</v>
      </c>
      <c r="D149" s="5">
        <v>45131</v>
      </c>
      <c r="E149" s="2" t="s">
        <v>49</v>
      </c>
      <c r="F149" s="2" t="s">
        <v>52</v>
      </c>
    </row>
    <row r="150" spans="1:6" hidden="1" x14ac:dyDescent="0.25">
      <c r="A150" s="2" t="s">
        <v>16</v>
      </c>
      <c r="B150" s="2" t="s">
        <v>209</v>
      </c>
      <c r="C150" s="2" t="s">
        <v>21</v>
      </c>
      <c r="D150" s="5">
        <v>46113</v>
      </c>
      <c r="E150" s="2" t="s">
        <v>49</v>
      </c>
      <c r="F150" s="2" t="s">
        <v>52</v>
      </c>
    </row>
    <row r="151" spans="1:6" hidden="1" x14ac:dyDescent="0.25">
      <c r="A151" s="2" t="s">
        <v>16</v>
      </c>
      <c r="B151" s="2" t="s">
        <v>210</v>
      </c>
      <c r="C151" s="2" t="s">
        <v>21</v>
      </c>
      <c r="D151" s="5">
        <v>45852</v>
      </c>
      <c r="E151" s="2" t="s">
        <v>49</v>
      </c>
      <c r="F151" s="2" t="s">
        <v>52</v>
      </c>
    </row>
    <row r="152" spans="1:6" hidden="1" x14ac:dyDescent="0.25">
      <c r="A152" s="2" t="s">
        <v>16</v>
      </c>
      <c r="B152" s="2" t="s">
        <v>211</v>
      </c>
      <c r="C152" s="2" t="s">
        <v>21</v>
      </c>
      <c r="D152" s="5">
        <v>46231</v>
      </c>
      <c r="E152" s="2" t="s">
        <v>49</v>
      </c>
      <c r="F152" s="2" t="s">
        <v>52</v>
      </c>
    </row>
    <row r="153" spans="1:6" hidden="1" x14ac:dyDescent="0.25">
      <c r="A153" s="2" t="s">
        <v>16</v>
      </c>
      <c r="B153" s="2" t="s">
        <v>212</v>
      </c>
      <c r="C153" s="2" t="s">
        <v>21</v>
      </c>
      <c r="D153" s="5">
        <v>45748</v>
      </c>
      <c r="E153" s="2" t="s">
        <v>45</v>
      </c>
      <c r="F153" s="2" t="s">
        <v>52</v>
      </c>
    </row>
    <row r="154" spans="1:6" hidden="1" x14ac:dyDescent="0.25">
      <c r="A154" s="2" t="s">
        <v>16</v>
      </c>
      <c r="B154" s="2" t="s">
        <v>213</v>
      </c>
      <c r="C154" s="2" t="s">
        <v>21</v>
      </c>
      <c r="D154" s="5">
        <v>45852</v>
      </c>
      <c r="E154" s="2" t="s">
        <v>45</v>
      </c>
      <c r="F154" s="2" t="s">
        <v>52</v>
      </c>
    </row>
    <row r="155" spans="1:6" hidden="1" x14ac:dyDescent="0.25">
      <c r="A155" s="2" t="s">
        <v>16</v>
      </c>
      <c r="B155" s="2" t="s">
        <v>214</v>
      </c>
      <c r="C155" s="2" t="s">
        <v>21</v>
      </c>
      <c r="D155" s="5">
        <v>39519</v>
      </c>
      <c r="E155" s="2" t="s">
        <v>49</v>
      </c>
      <c r="F155" s="2" t="s">
        <v>104</v>
      </c>
    </row>
    <row r="156" spans="1:6" hidden="1" x14ac:dyDescent="0.25">
      <c r="A156" s="2" t="s">
        <v>16</v>
      </c>
      <c r="B156" s="2" t="s">
        <v>215</v>
      </c>
      <c r="C156" s="2" t="s">
        <v>21</v>
      </c>
      <c r="D156" s="5">
        <v>44964</v>
      </c>
      <c r="E156" s="2" t="s">
        <v>49</v>
      </c>
      <c r="F156" s="2" t="s">
        <v>176</v>
      </c>
    </row>
    <row r="157" spans="1:6" hidden="1" x14ac:dyDescent="0.25">
      <c r="A157" s="2" t="s">
        <v>16</v>
      </c>
      <c r="B157" s="2" t="s">
        <v>216</v>
      </c>
      <c r="C157" s="2" t="s">
        <v>21</v>
      </c>
      <c r="D157" s="5">
        <v>45273</v>
      </c>
      <c r="E157" s="2" t="s">
        <v>49</v>
      </c>
      <c r="F157" s="2" t="s">
        <v>176</v>
      </c>
    </row>
    <row r="158" spans="1:6" hidden="1" x14ac:dyDescent="0.25">
      <c r="A158" s="2" t="s">
        <v>16</v>
      </c>
      <c r="B158" s="2" t="s">
        <v>217</v>
      </c>
      <c r="C158" s="2" t="s">
        <v>21</v>
      </c>
      <c r="D158" s="5">
        <v>45692</v>
      </c>
      <c r="E158" s="2" t="s">
        <v>49</v>
      </c>
      <c r="F158" s="2" t="s">
        <v>176</v>
      </c>
    </row>
    <row r="159" spans="1:6" hidden="1" x14ac:dyDescent="0.25">
      <c r="A159" s="2" t="s">
        <v>16</v>
      </c>
      <c r="B159" s="2" t="s">
        <v>218</v>
      </c>
      <c r="C159" s="2" t="s">
        <v>22</v>
      </c>
      <c r="D159" s="5">
        <v>46149</v>
      </c>
      <c r="E159" s="2" t="s">
        <v>49</v>
      </c>
      <c r="F159" s="2" t="s">
        <v>219</v>
      </c>
    </row>
    <row r="160" spans="1:6" hidden="1" x14ac:dyDescent="0.25">
      <c r="A160" s="2" t="s">
        <v>16</v>
      </c>
      <c r="B160" s="2" t="s">
        <v>220</v>
      </c>
      <c r="C160" s="2" t="s">
        <v>22</v>
      </c>
      <c r="D160" s="5">
        <v>43388</v>
      </c>
      <c r="E160" s="2" t="s">
        <v>49</v>
      </c>
      <c r="F160" s="2" t="s">
        <v>219</v>
      </c>
    </row>
    <row r="161" spans="1:6" hidden="1" x14ac:dyDescent="0.25">
      <c r="A161" s="2" t="s">
        <v>16</v>
      </c>
      <c r="B161" s="2" t="s">
        <v>221</v>
      </c>
      <c r="C161" s="2" t="s">
        <v>22</v>
      </c>
      <c r="D161" s="5">
        <v>45112</v>
      </c>
      <c r="E161" s="2" t="s">
        <v>49</v>
      </c>
      <c r="F161" s="2" t="s">
        <v>197</v>
      </c>
    </row>
    <row r="162" spans="1:6" hidden="1" x14ac:dyDescent="0.25">
      <c r="A162" s="2" t="s">
        <v>16</v>
      </c>
      <c r="B162" s="2" t="s">
        <v>222</v>
      </c>
      <c r="C162" s="2" t="s">
        <v>22</v>
      </c>
      <c r="D162" s="5">
        <v>44509</v>
      </c>
      <c r="E162" s="2" t="s">
        <v>49</v>
      </c>
      <c r="F162" s="2" t="s">
        <v>202</v>
      </c>
    </row>
    <row r="163" spans="1:6" hidden="1" x14ac:dyDescent="0.25">
      <c r="A163" s="2" t="s">
        <v>16</v>
      </c>
      <c r="B163" s="2" t="s">
        <v>223</v>
      </c>
      <c r="C163" s="2" t="s">
        <v>22</v>
      </c>
      <c r="D163" s="5">
        <v>45922</v>
      </c>
      <c r="E163" s="2" t="s">
        <v>49</v>
      </c>
      <c r="F163" s="2" t="s">
        <v>202</v>
      </c>
    </row>
    <row r="164" spans="1:6" hidden="1" x14ac:dyDescent="0.25">
      <c r="A164" s="2" t="s">
        <v>16</v>
      </c>
      <c r="B164" s="2" t="s">
        <v>224</v>
      </c>
      <c r="C164" s="2" t="s">
        <v>22</v>
      </c>
      <c r="D164" s="5">
        <v>45566</v>
      </c>
      <c r="E164" s="2" t="s">
        <v>49</v>
      </c>
      <c r="F164" s="2" t="s">
        <v>202</v>
      </c>
    </row>
    <row r="165" spans="1:6" hidden="1" x14ac:dyDescent="0.25">
      <c r="A165" s="2" t="s">
        <v>16</v>
      </c>
      <c r="B165" s="2" t="s">
        <v>225</v>
      </c>
      <c r="C165" s="2" t="s">
        <v>22</v>
      </c>
      <c r="D165" s="5">
        <v>45880</v>
      </c>
      <c r="E165" s="2" t="s">
        <v>49</v>
      </c>
      <c r="F165" s="2" t="s">
        <v>202</v>
      </c>
    </row>
    <row r="166" spans="1:6" hidden="1" x14ac:dyDescent="0.25">
      <c r="A166" s="2" t="s">
        <v>16</v>
      </c>
      <c r="B166" s="2" t="s">
        <v>226</v>
      </c>
      <c r="C166" s="2" t="s">
        <v>22</v>
      </c>
      <c r="D166" s="5">
        <v>45735</v>
      </c>
      <c r="E166" s="2" t="s">
        <v>49</v>
      </c>
      <c r="F166" s="2" t="s">
        <v>202</v>
      </c>
    </row>
    <row r="167" spans="1:6" hidden="1" x14ac:dyDescent="0.25">
      <c r="A167" s="2" t="s">
        <v>16</v>
      </c>
      <c r="B167" s="2" t="s">
        <v>227</v>
      </c>
      <c r="C167" s="2" t="s">
        <v>22</v>
      </c>
      <c r="D167" s="5">
        <v>45833</v>
      </c>
      <c r="E167" s="2" t="s">
        <v>49</v>
      </c>
      <c r="F167" s="2" t="s">
        <v>228</v>
      </c>
    </row>
    <row r="168" spans="1:6" hidden="1" x14ac:dyDescent="0.25">
      <c r="A168" s="2" t="s">
        <v>16</v>
      </c>
      <c r="B168" s="2" t="s">
        <v>229</v>
      </c>
      <c r="C168" s="2" t="s">
        <v>22</v>
      </c>
      <c r="D168" s="5">
        <v>38292</v>
      </c>
      <c r="E168" s="2" t="s">
        <v>49</v>
      </c>
      <c r="F168" s="2" t="s">
        <v>205</v>
      </c>
    </row>
    <row r="169" spans="1:6" hidden="1" x14ac:dyDescent="0.25">
      <c r="A169" s="2" t="s">
        <v>16</v>
      </c>
      <c r="B169" s="2" t="s">
        <v>230</v>
      </c>
      <c r="C169" s="2" t="s">
        <v>22</v>
      </c>
      <c r="D169" s="5">
        <v>45894</v>
      </c>
      <c r="E169" s="2" t="s">
        <v>49</v>
      </c>
      <c r="F169" s="2" t="s">
        <v>205</v>
      </c>
    </row>
    <row r="170" spans="1:6" hidden="1" x14ac:dyDescent="0.25">
      <c r="A170" s="2" t="s">
        <v>16</v>
      </c>
      <c r="B170" s="2" t="s">
        <v>231</v>
      </c>
      <c r="C170" s="2" t="s">
        <v>22</v>
      </c>
      <c r="D170" s="5">
        <v>37258</v>
      </c>
      <c r="E170" s="2" t="s">
        <v>49</v>
      </c>
      <c r="F170" s="2" t="s">
        <v>207</v>
      </c>
    </row>
    <row r="171" spans="1:6" hidden="1" x14ac:dyDescent="0.25">
      <c r="A171" s="2" t="s">
        <v>16</v>
      </c>
      <c r="B171" s="2" t="s">
        <v>232</v>
      </c>
      <c r="C171" s="2" t="s">
        <v>22</v>
      </c>
      <c r="D171" s="5">
        <v>44662</v>
      </c>
      <c r="E171" s="2" t="s">
        <v>49</v>
      </c>
      <c r="F171" s="2" t="s">
        <v>52</v>
      </c>
    </row>
    <row r="172" spans="1:6" hidden="1" x14ac:dyDescent="0.25">
      <c r="A172" s="2" t="s">
        <v>16</v>
      </c>
      <c r="B172" s="2" t="s">
        <v>233</v>
      </c>
      <c r="C172" s="2" t="s">
        <v>22</v>
      </c>
      <c r="D172" s="5">
        <v>46167</v>
      </c>
      <c r="E172" s="2" t="s">
        <v>49</v>
      </c>
      <c r="F172" s="2" t="s">
        <v>52</v>
      </c>
    </row>
    <row r="173" spans="1:6" hidden="1" x14ac:dyDescent="0.25">
      <c r="A173" s="2" t="s">
        <v>16</v>
      </c>
      <c r="B173" s="2" t="s">
        <v>234</v>
      </c>
      <c r="C173" s="2" t="s">
        <v>22</v>
      </c>
      <c r="D173" s="5">
        <v>44993</v>
      </c>
      <c r="E173" s="2" t="s">
        <v>49</v>
      </c>
      <c r="F173" s="2" t="s">
        <v>52</v>
      </c>
    </row>
    <row r="174" spans="1:6" hidden="1" x14ac:dyDescent="0.25">
      <c r="A174" s="2" t="s">
        <v>16</v>
      </c>
      <c r="B174" s="2" t="s">
        <v>235</v>
      </c>
      <c r="C174" s="2" t="s">
        <v>22</v>
      </c>
      <c r="D174" s="5">
        <v>45922</v>
      </c>
      <c r="E174" s="2" t="s">
        <v>49</v>
      </c>
      <c r="F174" s="2" t="s">
        <v>52</v>
      </c>
    </row>
    <row r="175" spans="1:6" hidden="1" x14ac:dyDescent="0.25">
      <c r="A175" s="2" t="s">
        <v>16</v>
      </c>
      <c r="B175" s="2" t="s">
        <v>236</v>
      </c>
      <c r="C175" s="2" t="s">
        <v>22</v>
      </c>
      <c r="D175" s="5">
        <v>46148</v>
      </c>
      <c r="E175" s="2" t="s">
        <v>49</v>
      </c>
      <c r="F175" s="2" t="s">
        <v>52</v>
      </c>
    </row>
    <row r="176" spans="1:6" hidden="1" x14ac:dyDescent="0.25">
      <c r="A176" s="2" t="s">
        <v>16</v>
      </c>
      <c r="B176" s="2" t="s">
        <v>237</v>
      </c>
      <c r="C176" s="2" t="s">
        <v>22</v>
      </c>
      <c r="D176" s="5">
        <v>46253</v>
      </c>
      <c r="E176" s="2" t="s">
        <v>49</v>
      </c>
      <c r="F176" s="2" t="s">
        <v>52</v>
      </c>
    </row>
    <row r="177" spans="1:6" hidden="1" x14ac:dyDescent="0.25">
      <c r="A177" s="2" t="s">
        <v>16</v>
      </c>
      <c r="B177" s="2" t="s">
        <v>238</v>
      </c>
      <c r="C177" s="2" t="s">
        <v>22</v>
      </c>
      <c r="D177" s="5">
        <v>46071</v>
      </c>
      <c r="E177" s="2" t="s">
        <v>49</v>
      </c>
      <c r="F177" s="2" t="s">
        <v>52</v>
      </c>
    </row>
    <row r="178" spans="1:6" hidden="1" x14ac:dyDescent="0.25">
      <c r="A178" s="2" t="s">
        <v>16</v>
      </c>
      <c r="B178" s="2" t="s">
        <v>239</v>
      </c>
      <c r="C178" s="2" t="s">
        <v>22</v>
      </c>
      <c r="D178" s="5">
        <v>46037</v>
      </c>
      <c r="E178" s="2" t="s">
        <v>49</v>
      </c>
      <c r="F178" s="2" t="s">
        <v>52</v>
      </c>
    </row>
    <row r="179" spans="1:6" hidden="1" x14ac:dyDescent="0.25">
      <c r="A179" s="2" t="s">
        <v>16</v>
      </c>
      <c r="B179" s="2" t="s">
        <v>240</v>
      </c>
      <c r="C179" s="2" t="s">
        <v>22</v>
      </c>
      <c r="D179" s="5">
        <v>44964</v>
      </c>
      <c r="E179" s="2" t="s">
        <v>49</v>
      </c>
      <c r="F179" s="2" t="s">
        <v>52</v>
      </c>
    </row>
    <row r="180" spans="1:6" hidden="1" x14ac:dyDescent="0.25">
      <c r="A180" s="2" t="s">
        <v>16</v>
      </c>
      <c r="B180" s="2" t="s">
        <v>241</v>
      </c>
      <c r="C180" s="2" t="s">
        <v>22</v>
      </c>
      <c r="D180" s="5">
        <v>46204</v>
      </c>
      <c r="E180" s="2" t="s">
        <v>49</v>
      </c>
      <c r="F180" s="2" t="s">
        <v>52</v>
      </c>
    </row>
    <row r="181" spans="1:6" hidden="1" x14ac:dyDescent="0.25">
      <c r="A181" s="2" t="s">
        <v>16</v>
      </c>
      <c r="B181" s="2" t="s">
        <v>242</v>
      </c>
      <c r="C181" s="2" t="s">
        <v>22</v>
      </c>
      <c r="D181" s="5">
        <v>45693</v>
      </c>
      <c r="E181" s="2" t="s">
        <v>49</v>
      </c>
      <c r="F181" s="2" t="s">
        <v>52</v>
      </c>
    </row>
    <row r="182" spans="1:6" hidden="1" x14ac:dyDescent="0.25">
      <c r="A182" s="2" t="s">
        <v>16</v>
      </c>
      <c r="B182" s="2" t="s">
        <v>243</v>
      </c>
      <c r="C182" s="2" t="s">
        <v>22</v>
      </c>
      <c r="D182" s="5">
        <v>45736</v>
      </c>
      <c r="E182" s="2" t="s">
        <v>49</v>
      </c>
      <c r="F182" s="2" t="s">
        <v>52</v>
      </c>
    </row>
    <row r="183" spans="1:6" hidden="1" x14ac:dyDescent="0.25">
      <c r="A183" s="2" t="s">
        <v>16</v>
      </c>
      <c r="B183" s="2" t="s">
        <v>244</v>
      </c>
      <c r="C183" s="2" t="s">
        <v>22</v>
      </c>
      <c r="D183" s="5">
        <v>45782</v>
      </c>
      <c r="E183" s="2" t="s">
        <v>49</v>
      </c>
      <c r="F183" s="2" t="s">
        <v>52</v>
      </c>
    </row>
    <row r="184" spans="1:6" hidden="1" x14ac:dyDescent="0.25">
      <c r="A184" s="2" t="s">
        <v>16</v>
      </c>
      <c r="B184" s="2" t="s">
        <v>245</v>
      </c>
      <c r="C184" s="2" t="s">
        <v>22</v>
      </c>
      <c r="D184" s="5">
        <v>43479</v>
      </c>
      <c r="E184" s="2" t="s">
        <v>49</v>
      </c>
      <c r="F184" s="2" t="s">
        <v>52</v>
      </c>
    </row>
    <row r="185" spans="1:6" hidden="1" x14ac:dyDescent="0.25">
      <c r="A185" s="2" t="s">
        <v>16</v>
      </c>
      <c r="B185" s="2" t="s">
        <v>246</v>
      </c>
      <c r="C185" s="2" t="s">
        <v>22</v>
      </c>
      <c r="D185" s="5">
        <v>46253</v>
      </c>
      <c r="E185" s="2" t="s">
        <v>49</v>
      </c>
      <c r="F185" s="2" t="s">
        <v>52</v>
      </c>
    </row>
    <row r="186" spans="1:6" hidden="1" x14ac:dyDescent="0.25">
      <c r="A186" s="2" t="s">
        <v>16</v>
      </c>
      <c r="B186" s="2" t="s">
        <v>247</v>
      </c>
      <c r="C186" s="2" t="s">
        <v>22</v>
      </c>
      <c r="D186" s="5">
        <v>45987</v>
      </c>
      <c r="E186" s="2" t="s">
        <v>49</v>
      </c>
      <c r="F186" s="2" t="s">
        <v>52</v>
      </c>
    </row>
    <row r="187" spans="1:6" hidden="1" x14ac:dyDescent="0.25">
      <c r="A187" s="2" t="s">
        <v>16</v>
      </c>
      <c r="B187" s="2" t="s">
        <v>248</v>
      </c>
      <c r="C187" s="2" t="s">
        <v>22</v>
      </c>
      <c r="D187" s="5">
        <v>45505</v>
      </c>
      <c r="E187" s="2" t="s">
        <v>49</v>
      </c>
      <c r="F187" s="2" t="s">
        <v>52</v>
      </c>
    </row>
    <row r="188" spans="1:6" hidden="1" x14ac:dyDescent="0.25">
      <c r="A188" s="2" t="s">
        <v>16</v>
      </c>
      <c r="B188" s="2" t="s">
        <v>249</v>
      </c>
      <c r="C188" s="2" t="s">
        <v>22</v>
      </c>
      <c r="D188" s="5">
        <v>46126</v>
      </c>
      <c r="E188" s="2" t="s">
        <v>49</v>
      </c>
      <c r="F188" s="2" t="s">
        <v>52</v>
      </c>
    </row>
    <row r="189" spans="1:6" hidden="1" x14ac:dyDescent="0.25">
      <c r="A189" s="2" t="s">
        <v>16</v>
      </c>
      <c r="B189" s="2" t="s">
        <v>250</v>
      </c>
      <c r="C189" s="2" t="s">
        <v>22</v>
      </c>
      <c r="D189" s="5">
        <v>43222</v>
      </c>
      <c r="E189" s="2" t="s">
        <v>49</v>
      </c>
      <c r="F189" s="2" t="s">
        <v>101</v>
      </c>
    </row>
    <row r="190" spans="1:6" hidden="1" x14ac:dyDescent="0.25">
      <c r="A190" s="2" t="s">
        <v>16</v>
      </c>
      <c r="B190" s="2" t="s">
        <v>251</v>
      </c>
      <c r="C190" s="2" t="s">
        <v>22</v>
      </c>
      <c r="D190" s="5">
        <v>44578</v>
      </c>
      <c r="E190" s="2" t="s">
        <v>49</v>
      </c>
      <c r="F190" s="2" t="s">
        <v>118</v>
      </c>
    </row>
    <row r="191" spans="1:6" hidden="1" x14ac:dyDescent="0.25">
      <c r="A191" s="2" t="s">
        <v>16</v>
      </c>
      <c r="B191" s="2" t="s">
        <v>252</v>
      </c>
      <c r="C191" s="2" t="s">
        <v>22</v>
      </c>
      <c r="D191" s="5">
        <v>45824</v>
      </c>
      <c r="E191" s="2" t="s">
        <v>49</v>
      </c>
      <c r="F191" s="2" t="s">
        <v>176</v>
      </c>
    </row>
    <row r="192" spans="1:6" hidden="1" x14ac:dyDescent="0.25">
      <c r="A192" s="2" t="s">
        <v>16</v>
      </c>
      <c r="B192" s="2" t="s">
        <v>253</v>
      </c>
      <c r="C192" s="2" t="s">
        <v>22</v>
      </c>
      <c r="D192" s="5">
        <v>45222</v>
      </c>
      <c r="E192" s="2" t="s">
        <v>49</v>
      </c>
      <c r="F192" s="2" t="s">
        <v>176</v>
      </c>
    </row>
    <row r="193" spans="1:6" hidden="1" x14ac:dyDescent="0.25">
      <c r="A193" s="2" t="s">
        <v>16</v>
      </c>
      <c r="B193" s="2" t="s">
        <v>254</v>
      </c>
      <c r="C193" s="2" t="s">
        <v>22</v>
      </c>
      <c r="D193" s="5">
        <v>45936</v>
      </c>
      <c r="E193" s="2" t="s">
        <v>49</v>
      </c>
      <c r="F193" s="2" t="s">
        <v>176</v>
      </c>
    </row>
    <row r="194" spans="1:6" hidden="1" x14ac:dyDescent="0.25">
      <c r="A194" s="2" t="s">
        <v>16</v>
      </c>
      <c r="B194" s="2" t="s">
        <v>255</v>
      </c>
      <c r="C194" s="2" t="s">
        <v>23</v>
      </c>
      <c r="D194" s="5">
        <v>44454</v>
      </c>
      <c r="E194" s="2" t="s">
        <v>49</v>
      </c>
      <c r="F194" s="2" t="s">
        <v>256</v>
      </c>
    </row>
    <row r="195" spans="1:6" hidden="1" x14ac:dyDescent="0.25">
      <c r="A195" s="2" t="s">
        <v>16</v>
      </c>
      <c r="B195" s="2" t="s">
        <v>257</v>
      </c>
      <c r="C195" s="2" t="s">
        <v>24</v>
      </c>
      <c r="D195" s="5">
        <v>45985</v>
      </c>
      <c r="E195" s="2" t="s">
        <v>45</v>
      </c>
      <c r="F195" s="2" t="s">
        <v>148</v>
      </c>
    </row>
    <row r="196" spans="1:6" hidden="1" x14ac:dyDescent="0.25">
      <c r="A196" s="2" t="s">
        <v>16</v>
      </c>
      <c r="B196" s="2" t="s">
        <v>258</v>
      </c>
      <c r="C196" s="2" t="s">
        <v>24</v>
      </c>
      <c r="D196" s="5">
        <v>45729</v>
      </c>
      <c r="E196" s="2" t="s">
        <v>45</v>
      </c>
      <c r="F196" s="2" t="s">
        <v>259</v>
      </c>
    </row>
    <row r="197" spans="1:6" hidden="1" x14ac:dyDescent="0.25">
      <c r="A197" s="2" t="s">
        <v>16</v>
      </c>
      <c r="B197" s="2" t="s">
        <v>260</v>
      </c>
      <c r="C197" s="2" t="s">
        <v>24</v>
      </c>
      <c r="D197" s="5">
        <v>46241</v>
      </c>
      <c r="E197" s="2" t="s">
        <v>49</v>
      </c>
      <c r="F197" s="2" t="s">
        <v>157</v>
      </c>
    </row>
    <row r="198" spans="1:6" hidden="1" x14ac:dyDescent="0.25">
      <c r="A198" s="2" t="s">
        <v>16</v>
      </c>
      <c r="B198" s="2" t="s">
        <v>261</v>
      </c>
      <c r="C198" s="2" t="s">
        <v>24</v>
      </c>
      <c r="D198" s="5">
        <v>45946</v>
      </c>
      <c r="E198" s="2" t="s">
        <v>45</v>
      </c>
      <c r="F198" s="2" t="s">
        <v>157</v>
      </c>
    </row>
    <row r="199" spans="1:6" hidden="1" x14ac:dyDescent="0.25">
      <c r="A199" s="2" t="s">
        <v>16</v>
      </c>
      <c r="B199" s="2" t="s">
        <v>262</v>
      </c>
      <c r="C199" s="2" t="s">
        <v>24</v>
      </c>
      <c r="D199" s="5">
        <v>45873</v>
      </c>
      <c r="E199" s="2" t="s">
        <v>45</v>
      </c>
      <c r="F199" s="2" t="s">
        <v>157</v>
      </c>
    </row>
    <row r="200" spans="1:6" hidden="1" x14ac:dyDescent="0.25">
      <c r="A200" s="2" t="s">
        <v>16</v>
      </c>
      <c r="B200" s="2" t="s">
        <v>263</v>
      </c>
      <c r="C200" s="2" t="s">
        <v>24</v>
      </c>
      <c r="D200" s="5">
        <v>43438</v>
      </c>
      <c r="E200" s="2" t="s">
        <v>49</v>
      </c>
      <c r="F200" s="2" t="s">
        <v>264</v>
      </c>
    </row>
    <row r="201" spans="1:6" hidden="1" x14ac:dyDescent="0.25">
      <c r="A201" s="2" t="s">
        <v>16</v>
      </c>
      <c r="B201" s="2" t="s">
        <v>265</v>
      </c>
      <c r="C201" s="2" t="s">
        <v>24</v>
      </c>
      <c r="D201" s="5">
        <v>45726</v>
      </c>
      <c r="E201" s="2" t="s">
        <v>45</v>
      </c>
      <c r="F201" s="2" t="s">
        <v>266</v>
      </c>
    </row>
    <row r="202" spans="1:6" hidden="1" x14ac:dyDescent="0.25">
      <c r="A202" s="2" t="s">
        <v>16</v>
      </c>
      <c r="B202" s="2" t="s">
        <v>267</v>
      </c>
      <c r="C202" s="2" t="s">
        <v>24</v>
      </c>
      <c r="D202" s="5">
        <v>46216</v>
      </c>
      <c r="E202" s="2" t="s">
        <v>45</v>
      </c>
      <c r="F202" s="2" t="s">
        <v>266</v>
      </c>
    </row>
    <row r="203" spans="1:6" hidden="1" x14ac:dyDescent="0.25">
      <c r="A203" s="2" t="s">
        <v>16</v>
      </c>
      <c r="B203" s="2" t="s">
        <v>268</v>
      </c>
      <c r="C203" s="2" t="s">
        <v>24</v>
      </c>
      <c r="D203" s="5">
        <v>45748</v>
      </c>
      <c r="E203" s="2" t="s">
        <v>45</v>
      </c>
      <c r="F203" s="2" t="s">
        <v>266</v>
      </c>
    </row>
    <row r="204" spans="1:6" hidden="1" x14ac:dyDescent="0.25">
      <c r="A204" s="2" t="s">
        <v>16</v>
      </c>
      <c r="B204" s="2" t="s">
        <v>269</v>
      </c>
      <c r="C204" s="2" t="s">
        <v>24</v>
      </c>
      <c r="D204" s="5">
        <v>45663</v>
      </c>
      <c r="E204" s="2" t="s">
        <v>45</v>
      </c>
      <c r="F204" s="2" t="s">
        <v>266</v>
      </c>
    </row>
    <row r="205" spans="1:6" hidden="1" x14ac:dyDescent="0.25">
      <c r="A205" s="2" t="s">
        <v>16</v>
      </c>
      <c r="B205" s="2" t="s">
        <v>270</v>
      </c>
      <c r="C205" s="2" t="s">
        <v>24</v>
      </c>
      <c r="D205" s="5">
        <v>40459</v>
      </c>
      <c r="E205" s="2" t="s">
        <v>49</v>
      </c>
      <c r="F205" s="2" t="s">
        <v>266</v>
      </c>
    </row>
    <row r="206" spans="1:6" hidden="1" x14ac:dyDescent="0.25">
      <c r="A206" s="2" t="s">
        <v>16</v>
      </c>
      <c r="B206" s="2" t="s">
        <v>271</v>
      </c>
      <c r="C206" s="2" t="s">
        <v>24</v>
      </c>
      <c r="D206" s="5">
        <v>43444</v>
      </c>
      <c r="E206" s="2" t="s">
        <v>49</v>
      </c>
      <c r="F206" s="2" t="s">
        <v>266</v>
      </c>
    </row>
    <row r="207" spans="1:6" hidden="1" x14ac:dyDescent="0.25">
      <c r="A207" s="2" t="s">
        <v>16</v>
      </c>
      <c r="B207" s="2" t="s">
        <v>272</v>
      </c>
      <c r="C207" s="2" t="s">
        <v>25</v>
      </c>
      <c r="D207" s="5">
        <v>41920</v>
      </c>
      <c r="E207" s="2" t="s">
        <v>45</v>
      </c>
      <c r="F207" s="2" t="s">
        <v>273</v>
      </c>
    </row>
    <row r="208" spans="1:6" hidden="1" x14ac:dyDescent="0.25">
      <c r="A208" s="2" t="s">
        <v>16</v>
      </c>
      <c r="B208" s="2" t="s">
        <v>274</v>
      </c>
      <c r="C208" s="2" t="s">
        <v>25</v>
      </c>
      <c r="D208" s="5">
        <v>45299</v>
      </c>
      <c r="E208" s="2" t="s">
        <v>45</v>
      </c>
      <c r="F208" s="2" t="s">
        <v>273</v>
      </c>
    </row>
    <row r="209" spans="1:6" hidden="1" x14ac:dyDescent="0.25">
      <c r="A209" s="2" t="s">
        <v>16</v>
      </c>
      <c r="B209" s="2" t="s">
        <v>275</v>
      </c>
      <c r="C209" s="2" t="s">
        <v>25</v>
      </c>
      <c r="D209" s="5">
        <v>41001</v>
      </c>
      <c r="E209" s="2" t="s">
        <v>45</v>
      </c>
      <c r="F209" s="2" t="s">
        <v>273</v>
      </c>
    </row>
    <row r="210" spans="1:6" hidden="1" x14ac:dyDescent="0.25">
      <c r="A210" s="2" t="s">
        <v>16</v>
      </c>
      <c r="B210" s="2" t="s">
        <v>276</v>
      </c>
      <c r="C210" s="2" t="s">
        <v>25</v>
      </c>
      <c r="D210" s="5">
        <v>42129</v>
      </c>
      <c r="E210" s="2" t="s">
        <v>45</v>
      </c>
      <c r="F210" s="2" t="s">
        <v>273</v>
      </c>
    </row>
    <row r="211" spans="1:6" hidden="1" x14ac:dyDescent="0.25">
      <c r="A211" s="2" t="s">
        <v>26</v>
      </c>
      <c r="B211" s="2" t="s">
        <v>277</v>
      </c>
      <c r="C211" s="2" t="s">
        <v>27</v>
      </c>
      <c r="D211" s="5">
        <v>46076</v>
      </c>
      <c r="E211" s="2" t="s">
        <v>45</v>
      </c>
      <c r="F211" s="2" t="s">
        <v>148</v>
      </c>
    </row>
    <row r="212" spans="1:6" hidden="1" x14ac:dyDescent="0.25">
      <c r="A212" s="2" t="s">
        <v>26</v>
      </c>
      <c r="B212" s="2" t="s">
        <v>278</v>
      </c>
      <c r="C212" s="2" t="s">
        <v>27</v>
      </c>
      <c r="D212" s="5">
        <v>46209</v>
      </c>
      <c r="E212" s="2" t="s">
        <v>49</v>
      </c>
      <c r="F212" s="2" t="s">
        <v>279</v>
      </c>
    </row>
    <row r="213" spans="1:6" hidden="1" x14ac:dyDescent="0.25">
      <c r="A213" s="2" t="s">
        <v>26</v>
      </c>
      <c r="B213" s="2" t="s">
        <v>280</v>
      </c>
      <c r="C213" s="2" t="s">
        <v>27</v>
      </c>
      <c r="D213" s="5">
        <v>46092</v>
      </c>
      <c r="E213" s="2" t="s">
        <v>49</v>
      </c>
      <c r="F213" s="2" t="s">
        <v>279</v>
      </c>
    </row>
    <row r="214" spans="1:6" hidden="1" x14ac:dyDescent="0.25">
      <c r="A214" s="2" t="s">
        <v>26</v>
      </c>
      <c r="B214" s="2" t="s">
        <v>281</v>
      </c>
      <c r="C214" s="2" t="s">
        <v>27</v>
      </c>
      <c r="D214" s="5">
        <v>46083</v>
      </c>
      <c r="E214" s="2" t="s">
        <v>49</v>
      </c>
      <c r="F214" s="2" t="s">
        <v>279</v>
      </c>
    </row>
    <row r="215" spans="1:6" hidden="1" x14ac:dyDescent="0.25">
      <c r="A215" s="2" t="s">
        <v>26</v>
      </c>
      <c r="B215" s="2" t="s">
        <v>282</v>
      </c>
      <c r="C215" s="2" t="s">
        <v>27</v>
      </c>
      <c r="D215" s="5">
        <v>46083</v>
      </c>
      <c r="E215" s="2" t="s">
        <v>49</v>
      </c>
      <c r="F215" s="2" t="s">
        <v>202</v>
      </c>
    </row>
    <row r="216" spans="1:6" hidden="1" x14ac:dyDescent="0.25">
      <c r="A216" s="2" t="s">
        <v>26</v>
      </c>
      <c r="B216" s="2" t="s">
        <v>283</v>
      </c>
      <c r="C216" s="2" t="s">
        <v>27</v>
      </c>
      <c r="D216" s="5">
        <v>46083</v>
      </c>
      <c r="E216" s="2" t="s">
        <v>49</v>
      </c>
      <c r="F216" s="2" t="s">
        <v>52</v>
      </c>
    </row>
    <row r="217" spans="1:6" hidden="1" x14ac:dyDescent="0.25">
      <c r="A217" s="2" t="s">
        <v>26</v>
      </c>
      <c r="B217" s="2" t="s">
        <v>284</v>
      </c>
      <c r="C217" s="2" t="s">
        <v>27</v>
      </c>
      <c r="D217" s="5">
        <v>46083</v>
      </c>
      <c r="E217" s="2" t="s">
        <v>49</v>
      </c>
      <c r="F217" s="2" t="s">
        <v>52</v>
      </c>
    </row>
    <row r="218" spans="1:6" hidden="1" x14ac:dyDescent="0.25">
      <c r="A218" s="2" t="s">
        <v>26</v>
      </c>
      <c r="B218" s="2" t="s">
        <v>285</v>
      </c>
      <c r="C218" s="2" t="s">
        <v>27</v>
      </c>
      <c r="D218" s="5">
        <v>46083</v>
      </c>
      <c r="E218" s="2" t="s">
        <v>49</v>
      </c>
      <c r="F218" s="2" t="s">
        <v>52</v>
      </c>
    </row>
    <row r="219" spans="1:6" hidden="1" x14ac:dyDescent="0.25">
      <c r="A219" s="2" t="s">
        <v>26</v>
      </c>
      <c r="B219" s="2" t="s">
        <v>286</v>
      </c>
      <c r="C219" s="2" t="s">
        <v>27</v>
      </c>
      <c r="D219" s="5">
        <v>46244</v>
      </c>
      <c r="E219" s="2" t="s">
        <v>49</v>
      </c>
      <c r="F219" s="2" t="s">
        <v>101</v>
      </c>
    </row>
    <row r="220" spans="1:6" hidden="1" x14ac:dyDescent="0.25">
      <c r="A220" s="2" t="s">
        <v>26</v>
      </c>
      <c r="B220" s="2" t="s">
        <v>287</v>
      </c>
      <c r="C220" s="2" t="s">
        <v>27</v>
      </c>
      <c r="D220" s="5">
        <v>46083</v>
      </c>
      <c r="E220" s="2" t="s">
        <v>49</v>
      </c>
      <c r="F220" s="2" t="s">
        <v>101</v>
      </c>
    </row>
    <row r="221" spans="1:6" hidden="1" x14ac:dyDescent="0.25">
      <c r="A221" s="2" t="s">
        <v>26</v>
      </c>
      <c r="B221" s="2" t="s">
        <v>288</v>
      </c>
      <c r="C221" s="2" t="s">
        <v>27</v>
      </c>
      <c r="D221" s="5">
        <v>46107</v>
      </c>
      <c r="E221" s="2" t="s">
        <v>49</v>
      </c>
      <c r="F221" s="2" t="s">
        <v>101</v>
      </c>
    </row>
    <row r="222" spans="1:6" hidden="1" x14ac:dyDescent="0.25">
      <c r="A222" s="2" t="s">
        <v>26</v>
      </c>
      <c r="B222" s="2" t="s">
        <v>289</v>
      </c>
      <c r="C222" s="2" t="s">
        <v>27</v>
      </c>
      <c r="D222" s="5">
        <v>46083</v>
      </c>
      <c r="E222" s="2" t="s">
        <v>49</v>
      </c>
      <c r="F222" s="2" t="s">
        <v>176</v>
      </c>
    </row>
    <row r="223" spans="1:6" hidden="1" x14ac:dyDescent="0.25">
      <c r="A223" s="2" t="s">
        <v>28</v>
      </c>
      <c r="B223" s="2" t="s">
        <v>290</v>
      </c>
      <c r="C223" s="2" t="s">
        <v>29</v>
      </c>
      <c r="D223" s="5">
        <v>45635</v>
      </c>
      <c r="E223" s="2" t="s">
        <v>49</v>
      </c>
      <c r="F223" s="2" t="s">
        <v>291</v>
      </c>
    </row>
    <row r="224" spans="1:6" hidden="1" x14ac:dyDescent="0.25">
      <c r="A224" s="2" t="s">
        <v>28</v>
      </c>
      <c r="B224" s="2" t="s">
        <v>292</v>
      </c>
      <c r="C224" s="2" t="s">
        <v>29</v>
      </c>
      <c r="D224" s="5">
        <v>45558</v>
      </c>
      <c r="E224" s="2" t="s">
        <v>49</v>
      </c>
      <c r="F224" s="2" t="s">
        <v>291</v>
      </c>
    </row>
    <row r="225" spans="1:6" hidden="1" x14ac:dyDescent="0.25">
      <c r="A225" s="2" t="s">
        <v>28</v>
      </c>
      <c r="B225" s="2" t="s">
        <v>293</v>
      </c>
      <c r="C225" s="2" t="s">
        <v>29</v>
      </c>
      <c r="D225" s="5">
        <v>43654</v>
      </c>
      <c r="E225" s="2" t="s">
        <v>49</v>
      </c>
      <c r="F225" s="2" t="s">
        <v>294</v>
      </c>
    </row>
    <row r="226" spans="1:6" hidden="1" x14ac:dyDescent="0.25">
      <c r="A226" s="2" t="s">
        <v>28</v>
      </c>
      <c r="B226" s="2" t="s">
        <v>295</v>
      </c>
      <c r="C226" s="2" t="s">
        <v>29</v>
      </c>
      <c r="D226" s="5">
        <v>41204</v>
      </c>
      <c r="E226" s="2" t="s">
        <v>49</v>
      </c>
      <c r="F226" s="2" t="s">
        <v>296</v>
      </c>
    </row>
    <row r="227" spans="1:6" hidden="1" x14ac:dyDescent="0.25">
      <c r="A227" s="2" t="s">
        <v>28</v>
      </c>
      <c r="B227" s="2" t="s">
        <v>297</v>
      </c>
      <c r="C227" s="2" t="s">
        <v>29</v>
      </c>
      <c r="D227" s="5">
        <v>41318</v>
      </c>
      <c r="E227" s="2" t="s">
        <v>49</v>
      </c>
      <c r="F227" s="2" t="s">
        <v>296</v>
      </c>
    </row>
  </sheetData>
  <autoFilter ref="A23:F227" xr:uid="{00000000-0009-0000-0000-000000000000}">
    <filterColumn colId="0">
      <filters>
        <filter val="L LOG TRANSPORTES E SERVIÇOS LTDA"/>
      </filters>
    </filterColumn>
    <filterColumn colId="5">
      <filters>
        <filter val="MOTORISTA I"/>
        <filter val="MOTORISTA II"/>
        <filter val="MOTORISTA III"/>
      </filters>
    </filterColumn>
  </autoFilter>
  <mergeCells count="3">
    <mergeCell ref="A3:C3"/>
    <mergeCell ref="A22:F22"/>
    <mergeCell ref="A1:F1"/>
  </mergeCells>
  <pageMargins left="0.25" right="0.25" top="0.5" bottom="0.5" header="0.5" footer="0.5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5"/>
  <sheetViews>
    <sheetView showGridLines="0" workbookViewId="0">
      <pane ySplit="5" topLeftCell="A69" activePane="bottomLeft" state="frozen"/>
      <selection pane="bottomLeft" activeCell="E79" sqref="E79"/>
    </sheetView>
  </sheetViews>
  <sheetFormatPr defaultRowHeight="15" x14ac:dyDescent="0.25"/>
  <cols>
    <col min="1" max="1" width="38" customWidth="1"/>
    <col min="2" max="2" width="30" customWidth="1"/>
    <col min="3" max="3" width="34" customWidth="1"/>
    <col min="4" max="4" width="20" customWidth="1"/>
    <col min="5" max="5" width="19" customWidth="1"/>
    <col min="6" max="6" width="35" customWidth="1"/>
  </cols>
  <sheetData>
    <row r="1" spans="1:6" ht="27.95" customHeight="1" x14ac:dyDescent="0.25">
      <c r="A1" s="20" t="s">
        <v>298</v>
      </c>
      <c r="B1" s="18"/>
      <c r="C1" s="18"/>
      <c r="D1" s="18"/>
      <c r="E1" s="18"/>
      <c r="F1" s="18"/>
    </row>
    <row r="3" spans="1:6" x14ac:dyDescent="0.25">
      <c r="A3" s="17" t="s">
        <v>299</v>
      </c>
      <c r="B3" s="18"/>
      <c r="C3" s="18"/>
      <c r="D3" s="18"/>
      <c r="E3" s="18"/>
      <c r="F3" s="18"/>
    </row>
    <row r="5" spans="1:6" ht="30" customHeight="1" x14ac:dyDescent="0.25">
      <c r="A5" s="1" t="s">
        <v>3</v>
      </c>
      <c r="B5" s="1" t="s">
        <v>4</v>
      </c>
      <c r="C5" s="1" t="s">
        <v>42</v>
      </c>
      <c r="D5" s="1" t="s">
        <v>300</v>
      </c>
      <c r="E5" s="1" t="s">
        <v>6</v>
      </c>
      <c r="F5" s="1" t="s">
        <v>10</v>
      </c>
    </row>
    <row r="6" spans="1:6" x14ac:dyDescent="0.25">
      <c r="A6" s="6"/>
      <c r="B6" s="6"/>
      <c r="C6" s="6"/>
      <c r="D6" s="3"/>
      <c r="E6" s="7"/>
      <c r="F6" s="6"/>
    </row>
    <row r="7" spans="1:6" x14ac:dyDescent="0.25">
      <c r="A7" s="6" t="s">
        <v>11</v>
      </c>
      <c r="B7" s="6" t="s">
        <v>12</v>
      </c>
      <c r="C7" s="6" t="s">
        <v>46</v>
      </c>
      <c r="D7" s="3">
        <v>4</v>
      </c>
      <c r="E7" s="7">
        <v>4</v>
      </c>
      <c r="F7" s="6"/>
    </row>
    <row r="8" spans="1:6" x14ac:dyDescent="0.25">
      <c r="A8" s="6" t="s">
        <v>11</v>
      </c>
      <c r="B8" s="6" t="s">
        <v>12</v>
      </c>
      <c r="C8" s="6" t="s">
        <v>52</v>
      </c>
      <c r="D8" s="3">
        <v>1</v>
      </c>
      <c r="E8" s="7">
        <v>0</v>
      </c>
      <c r="F8" s="6" t="s">
        <v>301</v>
      </c>
    </row>
    <row r="9" spans="1:6" x14ac:dyDescent="0.25">
      <c r="A9" s="6" t="s">
        <v>13</v>
      </c>
      <c r="B9" s="6" t="s">
        <v>14</v>
      </c>
      <c r="C9" s="6" t="s">
        <v>54</v>
      </c>
      <c r="D9" s="3">
        <v>1</v>
      </c>
      <c r="E9" s="7">
        <v>1</v>
      </c>
      <c r="F9" s="6"/>
    </row>
    <row r="10" spans="1:6" x14ac:dyDescent="0.25">
      <c r="A10" s="6" t="s">
        <v>13</v>
      </c>
      <c r="B10" s="6" t="s">
        <v>14</v>
      </c>
      <c r="C10" s="6" t="s">
        <v>56</v>
      </c>
      <c r="D10" s="3">
        <v>1</v>
      </c>
      <c r="E10" s="7">
        <v>1</v>
      </c>
      <c r="F10" s="6"/>
    </row>
    <row r="11" spans="1:6" x14ac:dyDescent="0.25">
      <c r="A11" s="6" t="s">
        <v>13</v>
      </c>
      <c r="B11" s="6" t="s">
        <v>14</v>
      </c>
      <c r="C11" s="6" t="s">
        <v>58</v>
      </c>
      <c r="D11" s="3">
        <v>3</v>
      </c>
      <c r="E11" s="7">
        <v>3</v>
      </c>
      <c r="F11" s="6"/>
    </row>
    <row r="12" spans="1:6" x14ac:dyDescent="0.25">
      <c r="A12" s="6" t="s">
        <v>13</v>
      </c>
      <c r="B12" s="6" t="s">
        <v>15</v>
      </c>
      <c r="C12" s="6" t="s">
        <v>62</v>
      </c>
      <c r="D12" s="3">
        <v>2</v>
      </c>
      <c r="E12" s="7">
        <v>6</v>
      </c>
      <c r="F12" s="6"/>
    </row>
    <row r="13" spans="1:6" x14ac:dyDescent="0.25">
      <c r="A13" s="6" t="s">
        <v>13</v>
      </c>
      <c r="B13" s="6" t="s">
        <v>15</v>
      </c>
      <c r="C13" s="6" t="s">
        <v>65</v>
      </c>
      <c r="D13" s="3">
        <v>16</v>
      </c>
      <c r="E13" s="7">
        <v>16</v>
      </c>
      <c r="F13" s="6"/>
    </row>
    <row r="14" spans="1:6" x14ac:dyDescent="0.25">
      <c r="A14" s="6" t="s">
        <v>13</v>
      </c>
      <c r="B14" s="6" t="s">
        <v>15</v>
      </c>
      <c r="C14" s="6" t="s">
        <v>82</v>
      </c>
      <c r="D14" s="3">
        <v>16</v>
      </c>
      <c r="E14" s="7">
        <v>16</v>
      </c>
      <c r="F14" s="6"/>
    </row>
    <row r="15" spans="1:6" x14ac:dyDescent="0.25">
      <c r="A15" s="6" t="s">
        <v>13</v>
      </c>
      <c r="B15" s="6" t="s">
        <v>15</v>
      </c>
      <c r="C15" s="6" t="s">
        <v>99</v>
      </c>
      <c r="D15" s="3">
        <v>1</v>
      </c>
      <c r="E15" s="7">
        <v>2</v>
      </c>
      <c r="F15" s="6"/>
    </row>
    <row r="16" spans="1:6" x14ac:dyDescent="0.25">
      <c r="A16" s="6" t="s">
        <v>13</v>
      </c>
      <c r="B16" s="6" t="s">
        <v>15</v>
      </c>
      <c r="C16" s="6" t="s">
        <v>101</v>
      </c>
      <c r="D16" s="3">
        <v>2</v>
      </c>
      <c r="E16" s="7">
        <v>2</v>
      </c>
      <c r="F16" s="6"/>
    </row>
    <row r="17" spans="1:6" x14ac:dyDescent="0.25">
      <c r="A17" s="6" t="s">
        <v>13</v>
      </c>
      <c r="B17" s="6" t="s">
        <v>15</v>
      </c>
      <c r="C17" s="6" t="s">
        <v>104</v>
      </c>
      <c r="D17" s="3">
        <v>13</v>
      </c>
      <c r="E17" s="7">
        <v>10</v>
      </c>
      <c r="F17" s="6"/>
    </row>
    <row r="18" spans="1:6" x14ac:dyDescent="0.25">
      <c r="A18" s="6" t="s">
        <v>13</v>
      </c>
      <c r="B18" s="6" t="s">
        <v>15</v>
      </c>
      <c r="C18" s="6" t="s">
        <v>118</v>
      </c>
      <c r="D18" s="3">
        <v>20</v>
      </c>
      <c r="E18" s="7">
        <v>20</v>
      </c>
      <c r="F18" s="6"/>
    </row>
    <row r="19" spans="1:6" x14ac:dyDescent="0.25">
      <c r="A19" s="6" t="s">
        <v>16</v>
      </c>
      <c r="B19" s="6" t="s">
        <v>17</v>
      </c>
      <c r="C19" s="6" t="s">
        <v>139</v>
      </c>
      <c r="D19" s="3">
        <v>1</v>
      </c>
      <c r="E19" s="7">
        <v>1</v>
      </c>
      <c r="F19" s="6"/>
    </row>
    <row r="20" spans="1:6" x14ac:dyDescent="0.25">
      <c r="A20" s="6" t="s">
        <v>16</v>
      </c>
      <c r="B20" s="6" t="s">
        <v>17</v>
      </c>
      <c r="C20" s="6" t="s">
        <v>141</v>
      </c>
      <c r="D20" s="3">
        <v>1</v>
      </c>
      <c r="E20" s="7">
        <v>1</v>
      </c>
      <c r="F20" s="6"/>
    </row>
    <row r="21" spans="1:6" x14ac:dyDescent="0.25">
      <c r="A21" s="6" t="s">
        <v>16</v>
      </c>
      <c r="B21" s="6" t="s">
        <v>17</v>
      </c>
      <c r="C21" s="6" t="s">
        <v>143</v>
      </c>
      <c r="D21" s="3">
        <v>1</v>
      </c>
      <c r="E21" s="7">
        <v>1</v>
      </c>
      <c r="F21" s="6"/>
    </row>
    <row r="22" spans="1:6" x14ac:dyDescent="0.25">
      <c r="A22" s="6" t="s">
        <v>16</v>
      </c>
      <c r="B22" s="6" t="s">
        <v>17</v>
      </c>
      <c r="C22" s="6" t="s">
        <v>145</v>
      </c>
      <c r="D22" s="3">
        <v>2</v>
      </c>
      <c r="E22" s="7">
        <v>2</v>
      </c>
      <c r="F22" s="6"/>
    </row>
    <row r="23" spans="1:6" x14ac:dyDescent="0.25">
      <c r="A23" s="6" t="s">
        <v>16</v>
      </c>
      <c r="B23" s="6" t="s">
        <v>17</v>
      </c>
      <c r="C23" s="6" t="s">
        <v>148</v>
      </c>
      <c r="D23" s="3">
        <v>4</v>
      </c>
      <c r="E23" s="7">
        <v>4</v>
      </c>
      <c r="F23" s="6"/>
    </row>
    <row r="24" spans="1:6" x14ac:dyDescent="0.25">
      <c r="A24" s="6" t="s">
        <v>16</v>
      </c>
      <c r="B24" s="6" t="s">
        <v>17</v>
      </c>
      <c r="C24" s="6" t="s">
        <v>153</v>
      </c>
      <c r="D24" s="3">
        <v>1</v>
      </c>
      <c r="E24" s="7">
        <v>1</v>
      </c>
      <c r="F24" s="6"/>
    </row>
    <row r="25" spans="1:6" x14ac:dyDescent="0.25">
      <c r="A25" s="6" t="s">
        <v>16</v>
      </c>
      <c r="B25" s="6" t="s">
        <v>17</v>
      </c>
      <c r="C25" s="6" t="s">
        <v>155</v>
      </c>
      <c r="D25" s="3">
        <v>1</v>
      </c>
      <c r="E25" s="7">
        <v>1</v>
      </c>
      <c r="F25" s="6"/>
    </row>
    <row r="26" spans="1:6" x14ac:dyDescent="0.25">
      <c r="A26" s="6" t="s">
        <v>16</v>
      </c>
      <c r="B26" s="6" t="s">
        <v>17</v>
      </c>
      <c r="C26" s="6" t="s">
        <v>157</v>
      </c>
      <c r="D26" s="3">
        <v>1</v>
      </c>
      <c r="E26" s="7">
        <v>1</v>
      </c>
      <c r="F26" s="6"/>
    </row>
    <row r="27" spans="1:6" x14ac:dyDescent="0.25">
      <c r="A27" s="6" t="s">
        <v>16</v>
      </c>
      <c r="B27" s="6" t="s">
        <v>17</v>
      </c>
      <c r="C27" s="6" t="s">
        <v>159</v>
      </c>
      <c r="D27" s="3">
        <v>1</v>
      </c>
      <c r="E27" s="7">
        <v>1</v>
      </c>
      <c r="F27" s="6"/>
    </row>
    <row r="28" spans="1:6" x14ac:dyDescent="0.25">
      <c r="A28" s="6" t="s">
        <v>16</v>
      </c>
      <c r="B28" s="6" t="s">
        <v>17</v>
      </c>
      <c r="C28" s="6" t="s">
        <v>161</v>
      </c>
      <c r="D28" s="3">
        <v>1</v>
      </c>
      <c r="E28" s="7">
        <v>1</v>
      </c>
      <c r="F28" s="6"/>
    </row>
    <row r="29" spans="1:6" x14ac:dyDescent="0.25">
      <c r="A29" s="6" t="s">
        <v>16</v>
      </c>
      <c r="B29" s="6" t="s">
        <v>17</v>
      </c>
      <c r="C29" s="6" t="s">
        <v>163</v>
      </c>
      <c r="D29" s="3">
        <v>1</v>
      </c>
      <c r="E29" s="7">
        <v>1</v>
      </c>
      <c r="F29" s="6"/>
    </row>
    <row r="30" spans="1:6" x14ac:dyDescent="0.25">
      <c r="A30" s="6" t="s">
        <v>16</v>
      </c>
      <c r="B30" s="6" t="s">
        <v>17</v>
      </c>
      <c r="C30" s="6" t="s">
        <v>165</v>
      </c>
      <c r="D30" s="3">
        <v>1</v>
      </c>
      <c r="E30" s="7">
        <v>1</v>
      </c>
      <c r="F30" s="6"/>
    </row>
    <row r="31" spans="1:6" x14ac:dyDescent="0.25">
      <c r="A31" s="6" t="s">
        <v>16</v>
      </c>
      <c r="B31" s="6" t="s">
        <v>17</v>
      </c>
      <c r="C31" s="6" t="s">
        <v>58</v>
      </c>
      <c r="D31" s="3">
        <v>3</v>
      </c>
      <c r="E31" s="7">
        <v>3</v>
      </c>
      <c r="F31" s="6"/>
    </row>
    <row r="32" spans="1:6" x14ac:dyDescent="0.25">
      <c r="A32" s="6" t="s">
        <v>16</v>
      </c>
      <c r="B32" s="6" t="s">
        <v>17</v>
      </c>
      <c r="C32" s="6" t="s">
        <v>170</v>
      </c>
      <c r="D32" s="3">
        <v>1</v>
      </c>
      <c r="E32" s="7">
        <v>1</v>
      </c>
      <c r="F32" s="6"/>
    </row>
    <row r="33" spans="1:6" x14ac:dyDescent="0.25">
      <c r="A33" s="6" t="s">
        <v>16</v>
      </c>
      <c r="B33" s="6" t="s">
        <v>18</v>
      </c>
      <c r="C33" s="6" t="s">
        <v>172</v>
      </c>
      <c r="D33" s="3">
        <v>1</v>
      </c>
      <c r="E33" s="7">
        <v>0</v>
      </c>
      <c r="F33" s="6" t="s">
        <v>18</v>
      </c>
    </row>
    <row r="34" spans="1:6" x14ac:dyDescent="0.25">
      <c r="A34" s="6" t="s">
        <v>16</v>
      </c>
      <c r="B34" s="6" t="s">
        <v>18</v>
      </c>
      <c r="C34" s="6" t="s">
        <v>62</v>
      </c>
      <c r="D34" s="3">
        <v>2</v>
      </c>
      <c r="E34" s="7">
        <v>0</v>
      </c>
      <c r="F34" s="6" t="s">
        <v>18</v>
      </c>
    </row>
    <row r="35" spans="1:6" x14ac:dyDescent="0.25">
      <c r="A35" s="6" t="s">
        <v>16</v>
      </c>
      <c r="B35" s="6" t="s">
        <v>18</v>
      </c>
      <c r="C35" s="6" t="s">
        <v>176</v>
      </c>
      <c r="D35" s="3">
        <v>1</v>
      </c>
      <c r="E35" s="7">
        <v>0</v>
      </c>
      <c r="F35" s="6" t="s">
        <v>18</v>
      </c>
    </row>
    <row r="36" spans="1:6" x14ac:dyDescent="0.25">
      <c r="A36" s="6" t="s">
        <v>16</v>
      </c>
      <c r="B36" s="6" t="s">
        <v>19</v>
      </c>
      <c r="C36" s="6" t="s">
        <v>178</v>
      </c>
      <c r="D36" s="3">
        <v>4</v>
      </c>
      <c r="E36" s="7">
        <v>4</v>
      </c>
      <c r="F36" s="6"/>
    </row>
    <row r="37" spans="1:6" x14ac:dyDescent="0.25">
      <c r="A37" s="6" t="s">
        <v>16</v>
      </c>
      <c r="B37" s="6" t="s">
        <v>20</v>
      </c>
      <c r="C37" s="6" t="s">
        <v>183</v>
      </c>
      <c r="D37" s="3">
        <v>1</v>
      </c>
      <c r="E37" s="7">
        <v>1</v>
      </c>
      <c r="F37" s="6"/>
    </row>
    <row r="38" spans="1:6" x14ac:dyDescent="0.25">
      <c r="A38" s="6" t="s">
        <v>16</v>
      </c>
      <c r="B38" s="6" t="s">
        <v>21</v>
      </c>
      <c r="C38" s="6" t="s">
        <v>185</v>
      </c>
      <c r="D38" s="3">
        <v>1</v>
      </c>
      <c r="E38" s="7">
        <v>1</v>
      </c>
      <c r="F38" s="6"/>
    </row>
    <row r="39" spans="1:6" x14ac:dyDescent="0.25">
      <c r="A39" s="6" t="s">
        <v>16</v>
      </c>
      <c r="B39" s="6" t="s">
        <v>21</v>
      </c>
      <c r="C39" s="6" t="s">
        <v>187</v>
      </c>
      <c r="D39" s="3">
        <v>1</v>
      </c>
      <c r="E39" s="7">
        <v>1</v>
      </c>
      <c r="F39" s="6"/>
    </row>
    <row r="40" spans="1:6" x14ac:dyDescent="0.25">
      <c r="A40" s="6" t="s">
        <v>16</v>
      </c>
      <c r="B40" s="6" t="s">
        <v>21</v>
      </c>
      <c r="C40" s="6" t="s">
        <v>189</v>
      </c>
      <c r="D40" s="3">
        <v>2</v>
      </c>
      <c r="E40" s="7">
        <v>2</v>
      </c>
      <c r="F40" s="6"/>
    </row>
    <row r="41" spans="1:6" x14ac:dyDescent="0.25">
      <c r="A41" s="6" t="s">
        <v>16</v>
      </c>
      <c r="B41" s="6" t="s">
        <v>21</v>
      </c>
      <c r="C41" s="6" t="s">
        <v>192</v>
      </c>
      <c r="D41" s="3">
        <v>1</v>
      </c>
      <c r="E41" s="7">
        <v>1</v>
      </c>
      <c r="F41" s="6"/>
    </row>
    <row r="42" spans="1:6" x14ac:dyDescent="0.25">
      <c r="A42" s="6" t="s">
        <v>16</v>
      </c>
      <c r="B42" s="6" t="s">
        <v>21</v>
      </c>
      <c r="C42" s="6" t="s">
        <v>194</v>
      </c>
      <c r="D42" s="3">
        <v>2</v>
      </c>
      <c r="E42" s="7">
        <v>2</v>
      </c>
      <c r="F42" s="6"/>
    </row>
    <row r="43" spans="1:6" x14ac:dyDescent="0.25">
      <c r="A43" s="6" t="s">
        <v>16</v>
      </c>
      <c r="B43" s="6" t="s">
        <v>21</v>
      </c>
      <c r="C43" s="6" t="s">
        <v>197</v>
      </c>
      <c r="D43" s="3">
        <v>4</v>
      </c>
      <c r="E43" s="7">
        <v>4</v>
      </c>
      <c r="F43" s="6"/>
    </row>
    <row r="44" spans="1:6" x14ac:dyDescent="0.25">
      <c r="A44" s="6" t="s">
        <v>16</v>
      </c>
      <c r="B44" s="6" t="s">
        <v>21</v>
      </c>
      <c r="C44" s="6" t="s">
        <v>202</v>
      </c>
      <c r="D44" s="3">
        <v>2</v>
      </c>
      <c r="E44" s="7">
        <v>2</v>
      </c>
      <c r="F44" s="6"/>
    </row>
    <row r="45" spans="1:6" x14ac:dyDescent="0.25">
      <c r="A45" s="6" t="s">
        <v>16</v>
      </c>
      <c r="B45" s="6" t="s">
        <v>21</v>
      </c>
      <c r="C45" s="6" t="s">
        <v>205</v>
      </c>
      <c r="D45" s="3">
        <v>1</v>
      </c>
      <c r="E45" s="7">
        <v>1</v>
      </c>
      <c r="F45" s="6"/>
    </row>
    <row r="46" spans="1:6" x14ac:dyDescent="0.25">
      <c r="A46" s="6" t="s">
        <v>16</v>
      </c>
      <c r="B46" s="6" t="s">
        <v>21</v>
      </c>
      <c r="C46" s="6" t="s">
        <v>207</v>
      </c>
      <c r="D46" s="3">
        <v>1</v>
      </c>
      <c r="E46" s="7">
        <v>1</v>
      </c>
      <c r="F46" s="6"/>
    </row>
    <row r="47" spans="1:6" x14ac:dyDescent="0.25">
      <c r="A47" s="6" t="s">
        <v>16</v>
      </c>
      <c r="B47" s="6" t="s">
        <v>21</v>
      </c>
      <c r="C47" s="6" t="s">
        <v>52</v>
      </c>
      <c r="D47" s="3">
        <v>6</v>
      </c>
      <c r="E47" s="7">
        <v>6</v>
      </c>
      <c r="F47" s="6"/>
    </row>
    <row r="48" spans="1:6" x14ac:dyDescent="0.25">
      <c r="A48" s="6" t="s">
        <v>16</v>
      </c>
      <c r="B48" s="6" t="s">
        <v>21</v>
      </c>
      <c r="C48" s="6" t="s">
        <v>104</v>
      </c>
      <c r="D48" s="3">
        <v>1</v>
      </c>
      <c r="E48" s="7">
        <v>0</v>
      </c>
      <c r="F48" s="6"/>
    </row>
    <row r="49" spans="1:6" x14ac:dyDescent="0.25">
      <c r="A49" s="6" t="s">
        <v>16</v>
      </c>
      <c r="B49" s="6" t="s">
        <v>21</v>
      </c>
      <c r="C49" s="6" t="s">
        <v>176</v>
      </c>
      <c r="D49" s="3">
        <v>3</v>
      </c>
      <c r="E49" s="7">
        <v>3</v>
      </c>
      <c r="F49" s="6"/>
    </row>
    <row r="50" spans="1:6" x14ac:dyDescent="0.25">
      <c r="A50" s="6" t="s">
        <v>16</v>
      </c>
      <c r="B50" s="6" t="s">
        <v>22</v>
      </c>
      <c r="C50" s="6" t="s">
        <v>219</v>
      </c>
      <c r="D50" s="3">
        <v>2</v>
      </c>
      <c r="E50" s="7">
        <v>1</v>
      </c>
      <c r="F50" s="6"/>
    </row>
    <row r="51" spans="1:6" x14ac:dyDescent="0.25">
      <c r="A51" s="6" t="s">
        <v>16</v>
      </c>
      <c r="B51" s="6" t="s">
        <v>22</v>
      </c>
      <c r="C51" s="6" t="s">
        <v>197</v>
      </c>
      <c r="D51" s="3">
        <v>1</v>
      </c>
      <c r="E51" s="7">
        <v>1</v>
      </c>
      <c r="F51" s="6"/>
    </row>
    <row r="52" spans="1:6" x14ac:dyDescent="0.25">
      <c r="A52" s="6" t="s">
        <v>16</v>
      </c>
      <c r="B52" s="6" t="s">
        <v>22</v>
      </c>
      <c r="C52" s="6" t="s">
        <v>202</v>
      </c>
      <c r="D52" s="3">
        <v>5</v>
      </c>
      <c r="E52" s="7">
        <v>5</v>
      </c>
      <c r="F52" s="6"/>
    </row>
    <row r="53" spans="1:6" x14ac:dyDescent="0.25">
      <c r="A53" s="6" t="s">
        <v>16</v>
      </c>
      <c r="B53" s="6" t="s">
        <v>22</v>
      </c>
      <c r="C53" s="6" t="s">
        <v>228</v>
      </c>
      <c r="D53" s="3">
        <v>1</v>
      </c>
      <c r="E53" s="7">
        <v>1</v>
      </c>
      <c r="F53" s="6"/>
    </row>
    <row r="54" spans="1:6" x14ac:dyDescent="0.25">
      <c r="A54" s="6" t="s">
        <v>16</v>
      </c>
      <c r="B54" s="6" t="s">
        <v>22</v>
      </c>
      <c r="C54" s="6" t="s">
        <v>205</v>
      </c>
      <c r="D54" s="3">
        <v>2</v>
      </c>
      <c r="E54" s="7">
        <v>2</v>
      </c>
      <c r="F54" s="6"/>
    </row>
    <row r="55" spans="1:6" x14ac:dyDescent="0.25">
      <c r="A55" s="6" t="s">
        <v>16</v>
      </c>
      <c r="B55" s="6" t="s">
        <v>22</v>
      </c>
      <c r="C55" s="6" t="s">
        <v>207</v>
      </c>
      <c r="D55" s="3">
        <v>1</v>
      </c>
      <c r="E55" s="7">
        <v>1</v>
      </c>
      <c r="F55" s="6"/>
    </row>
    <row r="56" spans="1:6" x14ac:dyDescent="0.25">
      <c r="A56" s="6" t="s">
        <v>16</v>
      </c>
      <c r="B56" s="6" t="s">
        <v>22</v>
      </c>
      <c r="C56" s="6" t="s">
        <v>52</v>
      </c>
      <c r="D56" s="3">
        <v>18</v>
      </c>
      <c r="E56" s="7">
        <v>30</v>
      </c>
      <c r="F56" s="6"/>
    </row>
    <row r="57" spans="1:6" x14ac:dyDescent="0.25">
      <c r="A57" s="6" t="s">
        <v>16</v>
      </c>
      <c r="B57" s="6" t="s">
        <v>22</v>
      </c>
      <c r="C57" s="6" t="s">
        <v>101</v>
      </c>
      <c r="D57" s="3">
        <v>1</v>
      </c>
      <c r="E57" s="7">
        <v>1</v>
      </c>
      <c r="F57" s="6"/>
    </row>
    <row r="58" spans="1:6" x14ac:dyDescent="0.25">
      <c r="A58" s="6" t="s">
        <v>16</v>
      </c>
      <c r="B58" s="6" t="s">
        <v>22</v>
      </c>
      <c r="C58" s="6" t="s">
        <v>118</v>
      </c>
      <c r="D58" s="3">
        <v>1</v>
      </c>
      <c r="E58" s="7">
        <v>1</v>
      </c>
      <c r="F58" s="6"/>
    </row>
    <row r="59" spans="1:6" x14ac:dyDescent="0.25">
      <c r="A59" s="6" t="s">
        <v>16</v>
      </c>
      <c r="B59" s="6" t="s">
        <v>22</v>
      </c>
      <c r="C59" s="6" t="s">
        <v>176</v>
      </c>
      <c r="D59" s="3">
        <v>3</v>
      </c>
      <c r="E59" s="7">
        <v>3</v>
      </c>
      <c r="F59" s="6"/>
    </row>
    <row r="60" spans="1:6" x14ac:dyDescent="0.25">
      <c r="A60" s="6" t="s">
        <v>16</v>
      </c>
      <c r="B60" s="6" t="s">
        <v>23</v>
      </c>
      <c r="C60" s="6" t="s">
        <v>256</v>
      </c>
      <c r="D60" s="3">
        <v>1</v>
      </c>
      <c r="E60" s="7">
        <v>1</v>
      </c>
      <c r="F60" s="6"/>
    </row>
    <row r="61" spans="1:6" x14ac:dyDescent="0.25">
      <c r="A61" s="6" t="s">
        <v>16</v>
      </c>
      <c r="B61" s="6" t="s">
        <v>24</v>
      </c>
      <c r="C61" s="6" t="s">
        <v>148</v>
      </c>
      <c r="D61" s="3">
        <v>1</v>
      </c>
      <c r="E61" s="7">
        <v>1</v>
      </c>
      <c r="F61" s="6"/>
    </row>
    <row r="62" spans="1:6" x14ac:dyDescent="0.25">
      <c r="A62" s="6" t="s">
        <v>16</v>
      </c>
      <c r="B62" s="6" t="s">
        <v>24</v>
      </c>
      <c r="C62" s="6" t="s">
        <v>259</v>
      </c>
      <c r="D62" s="3">
        <v>1</v>
      </c>
      <c r="E62" s="7">
        <v>1</v>
      </c>
      <c r="F62" s="6"/>
    </row>
    <row r="63" spans="1:6" x14ac:dyDescent="0.25">
      <c r="A63" s="6" t="s">
        <v>16</v>
      </c>
      <c r="B63" s="6" t="s">
        <v>24</v>
      </c>
      <c r="C63" s="6" t="s">
        <v>157</v>
      </c>
      <c r="D63" s="3">
        <v>3</v>
      </c>
      <c r="E63" s="7">
        <v>1</v>
      </c>
      <c r="F63" s="6"/>
    </row>
    <row r="64" spans="1:6" x14ac:dyDescent="0.25">
      <c r="A64" s="6" t="s">
        <v>16</v>
      </c>
      <c r="B64" s="6" t="s">
        <v>24</v>
      </c>
      <c r="C64" s="6" t="s">
        <v>264</v>
      </c>
      <c r="D64" s="3">
        <v>1</v>
      </c>
      <c r="E64" s="7">
        <v>1</v>
      </c>
      <c r="F64" s="6"/>
    </row>
    <row r="65" spans="1:6" x14ac:dyDescent="0.25">
      <c r="A65" s="6" t="s">
        <v>16</v>
      </c>
      <c r="B65" s="6" t="s">
        <v>24</v>
      </c>
      <c r="C65" s="6" t="s">
        <v>266</v>
      </c>
      <c r="D65" s="3">
        <v>6</v>
      </c>
      <c r="E65" s="7">
        <v>6</v>
      </c>
      <c r="F65" s="6"/>
    </row>
    <row r="66" spans="1:6" x14ac:dyDescent="0.25">
      <c r="A66" s="6" t="s">
        <v>16</v>
      </c>
      <c r="B66" s="6" t="s">
        <v>25</v>
      </c>
      <c r="C66" s="6" t="s">
        <v>273</v>
      </c>
      <c r="D66" s="3">
        <v>4</v>
      </c>
      <c r="E66" s="7">
        <v>4</v>
      </c>
      <c r="F66" s="6"/>
    </row>
    <row r="67" spans="1:6" x14ac:dyDescent="0.25">
      <c r="A67" s="6" t="s">
        <v>26</v>
      </c>
      <c r="B67" s="6" t="s">
        <v>27</v>
      </c>
      <c r="C67" s="6" t="s">
        <v>148</v>
      </c>
      <c r="D67" s="3">
        <v>1</v>
      </c>
      <c r="E67" s="7">
        <v>1</v>
      </c>
      <c r="F67" s="6"/>
    </row>
    <row r="68" spans="1:6" x14ac:dyDescent="0.25">
      <c r="A68" s="6" t="s">
        <v>26</v>
      </c>
      <c r="B68" s="6" t="s">
        <v>27</v>
      </c>
      <c r="C68" s="6" t="s">
        <v>279</v>
      </c>
      <c r="D68" s="3">
        <v>3</v>
      </c>
      <c r="E68" s="7">
        <v>3</v>
      </c>
      <c r="F68" s="6"/>
    </row>
    <row r="69" spans="1:6" x14ac:dyDescent="0.25">
      <c r="A69" s="6" t="s">
        <v>26</v>
      </c>
      <c r="B69" s="6" t="s">
        <v>27</v>
      </c>
      <c r="C69" s="6" t="s">
        <v>202</v>
      </c>
      <c r="D69" s="3">
        <v>1</v>
      </c>
      <c r="E69" s="7">
        <v>1</v>
      </c>
      <c r="F69" s="6"/>
    </row>
    <row r="70" spans="1:6" x14ac:dyDescent="0.25">
      <c r="A70" s="6" t="s">
        <v>26</v>
      </c>
      <c r="B70" s="6" t="s">
        <v>27</v>
      </c>
      <c r="C70" s="6" t="s">
        <v>52</v>
      </c>
      <c r="D70" s="3">
        <v>3</v>
      </c>
      <c r="E70" s="7">
        <v>3</v>
      </c>
      <c r="F70" s="6"/>
    </row>
    <row r="71" spans="1:6" x14ac:dyDescent="0.25">
      <c r="A71" s="6" t="s">
        <v>26</v>
      </c>
      <c r="B71" s="6" t="s">
        <v>27</v>
      </c>
      <c r="C71" s="6" t="s">
        <v>101</v>
      </c>
      <c r="D71" s="3">
        <v>3</v>
      </c>
      <c r="E71" s="7">
        <v>3</v>
      </c>
      <c r="F71" s="6"/>
    </row>
    <row r="72" spans="1:6" x14ac:dyDescent="0.25">
      <c r="A72" s="6" t="s">
        <v>26</v>
      </c>
      <c r="B72" s="6" t="s">
        <v>27</v>
      </c>
      <c r="C72" s="6" t="s">
        <v>176</v>
      </c>
      <c r="D72" s="3">
        <v>1</v>
      </c>
      <c r="E72" s="7">
        <v>1</v>
      </c>
      <c r="F72" s="6"/>
    </row>
    <row r="73" spans="1:6" ht="30" customHeight="1" x14ac:dyDescent="0.25">
      <c r="A73" s="6" t="s">
        <v>28</v>
      </c>
      <c r="B73" s="6" t="s">
        <v>29</v>
      </c>
      <c r="C73" s="6" t="s">
        <v>291</v>
      </c>
      <c r="D73" s="3">
        <v>2</v>
      </c>
      <c r="E73" s="7">
        <v>2</v>
      </c>
      <c r="F73" s="6"/>
    </row>
    <row r="74" spans="1:6" ht="30" customHeight="1" x14ac:dyDescent="0.25">
      <c r="A74" s="6" t="s">
        <v>28</v>
      </c>
      <c r="B74" s="6" t="s">
        <v>29</v>
      </c>
      <c r="C74" s="6" t="s">
        <v>294</v>
      </c>
      <c r="D74" s="3">
        <v>1</v>
      </c>
      <c r="E74" s="7">
        <v>1</v>
      </c>
      <c r="F74" s="6"/>
    </row>
    <row r="75" spans="1:6" ht="30" customHeight="1" x14ac:dyDescent="0.25">
      <c r="A75" s="6" t="s">
        <v>28</v>
      </c>
      <c r="B75" s="6" t="s">
        <v>29</v>
      </c>
      <c r="C75" s="6" t="s">
        <v>296</v>
      </c>
      <c r="D75" s="3">
        <v>2</v>
      </c>
      <c r="E75" s="7">
        <v>2</v>
      </c>
      <c r="F75" s="6"/>
    </row>
  </sheetData>
  <autoFilter ref="A5:F75" xr:uid="{00000000-0009-0000-0000-000001000000}"/>
  <mergeCells count="2">
    <mergeCell ref="A3:F3"/>
    <mergeCell ref="A1:F1"/>
  </mergeCells>
  <dataValidations count="1">
    <dataValidation type="whole" operator="greaterThanOrEqual" allowBlank="1" errorTitle="Head inválido" error="Digite um número inteiro igual ou maior que zero." promptTitle="Head Programado" prompt="Informe o Head programado para esta função." sqref="E6:E75" xr:uid="{00000000-0002-0000-0100-000000000000}">
      <formula1>0</formula1>
    </dataValidation>
  </dataValidations>
  <pageMargins left="0.25" right="0.25" top="0.5" bottom="0.5" header="0.5" footer="0.5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9"/>
  <sheetViews>
    <sheetView showGridLines="0" tabSelected="1" workbookViewId="0">
      <pane ySplit="6" topLeftCell="A7" activePane="bottomLeft" state="frozen"/>
      <selection pane="bottomLeft" activeCell="G26" sqref="G26"/>
    </sheetView>
  </sheetViews>
  <sheetFormatPr defaultRowHeight="15" x14ac:dyDescent="0.25"/>
  <cols>
    <col min="1" max="1" width="38" customWidth="1"/>
    <col min="2" max="2" width="30" customWidth="1"/>
    <col min="3" max="3" width="13" customWidth="1"/>
    <col min="4" max="4" width="18" customWidth="1"/>
    <col min="5" max="5" width="13" customWidth="1"/>
    <col min="6" max="6" width="20" customWidth="1"/>
    <col min="7" max="7" width="23" customWidth="1"/>
    <col min="8" max="8" width="30" customWidth="1"/>
  </cols>
  <sheetData>
    <row r="1" spans="1:8" ht="27.95" customHeight="1" x14ac:dyDescent="0.25">
      <c r="A1" s="20" t="s">
        <v>0</v>
      </c>
      <c r="B1" s="18"/>
      <c r="C1" s="18"/>
      <c r="D1" s="18"/>
      <c r="E1" s="18"/>
      <c r="F1" s="18"/>
      <c r="G1" s="18"/>
      <c r="H1" s="18"/>
    </row>
    <row r="3" spans="1:8" x14ac:dyDescent="0.25">
      <c r="A3" s="8" t="s">
        <v>1</v>
      </c>
    </row>
    <row r="4" spans="1:8" x14ac:dyDescent="0.25">
      <c r="A4" s="17" t="s">
        <v>2</v>
      </c>
      <c r="B4" s="18"/>
      <c r="C4" s="18"/>
      <c r="D4" s="18"/>
      <c r="E4" s="18"/>
      <c r="F4" s="18"/>
      <c r="G4" s="18"/>
      <c r="H4" s="18"/>
    </row>
    <row r="6" spans="1:8" ht="30" customHeight="1" x14ac:dyDescent="0.25">
      <c r="A6" s="1" t="s">
        <v>3</v>
      </c>
      <c r="B6" s="1" t="s">
        <v>4</v>
      </c>
      <c r="C6" s="1" t="s">
        <v>5</v>
      </c>
      <c r="D6" s="1" t="s">
        <v>6</v>
      </c>
      <c r="E6" s="1" t="s">
        <v>7</v>
      </c>
      <c r="F6" s="1" t="s">
        <v>8</v>
      </c>
      <c r="G6" s="1" t="s">
        <v>9</v>
      </c>
      <c r="H6" s="1" t="s">
        <v>10</v>
      </c>
    </row>
    <row r="7" spans="1:8" x14ac:dyDescent="0.25">
      <c r="A7" s="6" t="s">
        <v>11</v>
      </c>
      <c r="B7" s="6" t="s">
        <v>12</v>
      </c>
      <c r="C7" s="3">
        <v>5</v>
      </c>
      <c r="D7" s="3">
        <f>IF(SUMIFS('HEAD PROGRAMADO'!$E$6:$E$75,'HEAD PROGRAMADO'!$A$6:$A$75,A7,'HEAD PROGRAMADO'!$B$6:$B$75,B7)=0,"",SUMIFS('HEAD PROGRAMADO'!$E$6:$E$75,'HEAD PROGRAMADO'!$A$6:$A$75,A7,'HEAD PROGRAMADO'!$B$6:$B$75,B7))</f>
        <v>4</v>
      </c>
      <c r="E7" s="3">
        <f t="shared" ref="E7:E20" si="0">IF(D7="","",D7-C7)</f>
        <v>-1</v>
      </c>
      <c r="F7" s="6" t="str">
        <f t="shared" ref="F7:F20" si="1">IF(D7="","AGUARDANDO HEAD",IF(E7&gt;0,"ABAIXO DO HEAD",IF(E7&lt;0,"ACIMA DO HEAD","HEAD ADEQUADO")))</f>
        <v>ACIMA DO HEAD</v>
      </c>
      <c r="G7" s="6" t="str">
        <f t="shared" ref="G7:G20" si="2">IF(D7="","PREENCHER HEAD PROGRAMADO",IF(E7&gt;0,"CONTRATAÇÃO",IF(E7&lt;0,"REDUÇÃO","MANTER")))</f>
        <v>REDUÇÃO</v>
      </c>
      <c r="H7" s="6"/>
    </row>
    <row r="8" spans="1:8" x14ac:dyDescent="0.25">
      <c r="A8" s="6" t="s">
        <v>13</v>
      </c>
      <c r="B8" s="6" t="s">
        <v>14</v>
      </c>
      <c r="C8" s="3">
        <v>5</v>
      </c>
      <c r="D8" s="3">
        <f>IF(SUMIFS('HEAD PROGRAMADO'!$E$6:$E$75,'HEAD PROGRAMADO'!$A$6:$A$75,A8,'HEAD PROGRAMADO'!$B$6:$B$75,B8)=0,"",SUMIFS('HEAD PROGRAMADO'!$E$6:$E$75,'HEAD PROGRAMADO'!$A$6:$A$75,A8,'HEAD PROGRAMADO'!$B$6:$B$75,B8))</f>
        <v>5</v>
      </c>
      <c r="E8" s="3">
        <f t="shared" si="0"/>
        <v>0</v>
      </c>
      <c r="F8" s="6" t="str">
        <f t="shared" si="1"/>
        <v>HEAD ADEQUADO</v>
      </c>
      <c r="G8" s="6" t="str">
        <f t="shared" si="2"/>
        <v>MANTER</v>
      </c>
      <c r="H8" s="6"/>
    </row>
    <row r="9" spans="1:8" x14ac:dyDescent="0.25">
      <c r="A9" s="6" t="s">
        <v>13</v>
      </c>
      <c r="B9" s="6" t="s">
        <v>15</v>
      </c>
      <c r="C9" s="3">
        <v>70</v>
      </c>
      <c r="D9" s="3">
        <f>IF(SUMIFS('HEAD PROGRAMADO'!$E$6:$E$75,'HEAD PROGRAMADO'!$A$6:$A$75,A9,'HEAD PROGRAMADO'!$B$6:$B$75,B9)=0,"",SUMIFS('HEAD PROGRAMADO'!$E$6:$E$75,'HEAD PROGRAMADO'!$A$6:$A$75,A9,'HEAD PROGRAMADO'!$B$6:$B$75,B9))</f>
        <v>72</v>
      </c>
      <c r="E9" s="3">
        <f t="shared" si="0"/>
        <v>2</v>
      </c>
      <c r="F9" s="6" t="str">
        <f t="shared" si="1"/>
        <v>ABAIXO DO HEAD</v>
      </c>
      <c r="G9" s="6" t="str">
        <f t="shared" si="2"/>
        <v>CONTRATAÇÃO</v>
      </c>
      <c r="H9" s="6"/>
    </row>
    <row r="10" spans="1:8" x14ac:dyDescent="0.25">
      <c r="A10" s="6" t="s">
        <v>16</v>
      </c>
      <c r="B10" s="6" t="s">
        <v>17</v>
      </c>
      <c r="C10" s="3">
        <v>20</v>
      </c>
      <c r="D10" s="3">
        <f>IF(SUMIFS('HEAD PROGRAMADO'!$E$6:$E$75,'HEAD PROGRAMADO'!$A$6:$A$75,A10,'HEAD PROGRAMADO'!$B$6:$B$75,B10)=0,"",SUMIFS('HEAD PROGRAMADO'!$E$6:$E$75,'HEAD PROGRAMADO'!$A$6:$A$75,A10,'HEAD PROGRAMADO'!$B$6:$B$75,B10))</f>
        <v>20</v>
      </c>
      <c r="E10" s="3">
        <f t="shared" si="0"/>
        <v>0</v>
      </c>
      <c r="F10" s="6" t="str">
        <f t="shared" si="1"/>
        <v>HEAD ADEQUADO</v>
      </c>
      <c r="G10" s="6" t="str">
        <f t="shared" si="2"/>
        <v>MANTER</v>
      </c>
      <c r="H10" s="6"/>
    </row>
    <row r="11" spans="1:8" x14ac:dyDescent="0.25">
      <c r="A11" s="6" t="s">
        <v>16</v>
      </c>
      <c r="B11" s="6" t="s">
        <v>18</v>
      </c>
      <c r="C11" s="3">
        <v>4</v>
      </c>
      <c r="D11" s="3">
        <v>4</v>
      </c>
      <c r="E11" s="3">
        <f t="shared" si="0"/>
        <v>0</v>
      </c>
      <c r="F11" s="6" t="str">
        <f t="shared" si="1"/>
        <v>HEAD ADEQUADO</v>
      </c>
      <c r="G11" s="6" t="str">
        <f t="shared" si="2"/>
        <v>MANTER</v>
      </c>
      <c r="H11" s="6"/>
    </row>
    <row r="12" spans="1:8" x14ac:dyDescent="0.25">
      <c r="A12" s="6" t="s">
        <v>16</v>
      </c>
      <c r="B12" s="6" t="s">
        <v>19</v>
      </c>
      <c r="C12" s="3">
        <v>4</v>
      </c>
      <c r="D12" s="3">
        <f>IF(SUMIFS('HEAD PROGRAMADO'!$E$6:$E$75,'HEAD PROGRAMADO'!$A$6:$A$75,A12,'HEAD PROGRAMADO'!$B$6:$B$75,B12)=0,"",SUMIFS('HEAD PROGRAMADO'!$E$6:$E$75,'HEAD PROGRAMADO'!$A$6:$A$75,A12,'HEAD PROGRAMADO'!$B$6:$B$75,B12))</f>
        <v>4</v>
      </c>
      <c r="E12" s="3">
        <f t="shared" si="0"/>
        <v>0</v>
      </c>
      <c r="F12" s="6" t="str">
        <f t="shared" si="1"/>
        <v>HEAD ADEQUADO</v>
      </c>
      <c r="G12" s="6" t="str">
        <f t="shared" si="2"/>
        <v>MANTER</v>
      </c>
      <c r="H12" s="6"/>
    </row>
    <row r="13" spans="1:8" x14ac:dyDescent="0.25">
      <c r="A13" s="6" t="s">
        <v>16</v>
      </c>
      <c r="B13" s="6" t="s">
        <v>20</v>
      </c>
      <c r="C13" s="3">
        <v>1</v>
      </c>
      <c r="D13" s="3">
        <f>IF(SUMIFS('HEAD PROGRAMADO'!$E$6:$E$75,'HEAD PROGRAMADO'!$A$6:$A$75,A13,'HEAD PROGRAMADO'!$B$6:$B$75,B13)=0,"",SUMIFS('HEAD PROGRAMADO'!$E$6:$E$75,'HEAD PROGRAMADO'!$A$6:$A$75,A13,'HEAD PROGRAMADO'!$B$6:$B$75,B13))</f>
        <v>1</v>
      </c>
      <c r="E13" s="3">
        <f t="shared" si="0"/>
        <v>0</v>
      </c>
      <c r="F13" s="6" t="str">
        <f t="shared" si="1"/>
        <v>HEAD ADEQUADO</v>
      </c>
      <c r="G13" s="6" t="str">
        <f t="shared" si="2"/>
        <v>MANTER</v>
      </c>
      <c r="H13" s="6"/>
    </row>
    <row r="14" spans="1:8" x14ac:dyDescent="0.25">
      <c r="A14" s="6" t="s">
        <v>16</v>
      </c>
      <c r="B14" s="6" t="s">
        <v>21</v>
      </c>
      <c r="C14" s="3">
        <v>25</v>
      </c>
      <c r="D14" s="3">
        <f>IF(SUMIFS('HEAD PROGRAMADO'!$E$6:$E$75,'HEAD PROGRAMADO'!$A$6:$A$75,A14,'HEAD PROGRAMADO'!$B$6:$B$75,B14)=0,"",SUMIFS('HEAD PROGRAMADO'!$E$6:$E$75,'HEAD PROGRAMADO'!$A$6:$A$75,A14,'HEAD PROGRAMADO'!$B$6:$B$75,B14))</f>
        <v>24</v>
      </c>
      <c r="E14" s="3">
        <f t="shared" si="0"/>
        <v>-1</v>
      </c>
      <c r="F14" s="6" t="str">
        <f t="shared" si="1"/>
        <v>ACIMA DO HEAD</v>
      </c>
      <c r="G14" s="6" t="str">
        <f t="shared" si="2"/>
        <v>REDUÇÃO</v>
      </c>
      <c r="H14" s="6"/>
    </row>
    <row r="15" spans="1:8" x14ac:dyDescent="0.25">
      <c r="A15" s="6" t="s">
        <v>16</v>
      </c>
      <c r="B15" s="6" t="s">
        <v>22</v>
      </c>
      <c r="C15" s="3">
        <v>35</v>
      </c>
      <c r="D15" s="3">
        <f>IF(SUMIFS('HEAD PROGRAMADO'!$E$6:$E$75,'HEAD PROGRAMADO'!$A$6:$A$75,A15,'HEAD PROGRAMADO'!$B$6:$B$75,B15)=0,"",SUMIFS('HEAD PROGRAMADO'!$E$6:$E$75,'HEAD PROGRAMADO'!$A$6:$A$75,A15,'HEAD PROGRAMADO'!$B$6:$B$75,B15))</f>
        <v>46</v>
      </c>
      <c r="E15" s="3">
        <f t="shared" si="0"/>
        <v>11</v>
      </c>
      <c r="F15" s="6" t="str">
        <f t="shared" si="1"/>
        <v>ABAIXO DO HEAD</v>
      </c>
      <c r="G15" s="6" t="str">
        <f t="shared" si="2"/>
        <v>CONTRATAÇÃO</v>
      </c>
      <c r="H15" s="6"/>
    </row>
    <row r="16" spans="1:8" x14ac:dyDescent="0.25">
      <c r="A16" s="6" t="s">
        <v>16</v>
      </c>
      <c r="B16" s="6" t="s">
        <v>23</v>
      </c>
      <c r="C16" s="3">
        <v>1</v>
      </c>
      <c r="D16" s="3">
        <f>IF(SUMIFS('HEAD PROGRAMADO'!$E$6:$E$75,'HEAD PROGRAMADO'!$A$6:$A$75,A16,'HEAD PROGRAMADO'!$B$6:$B$75,B16)=0,"",SUMIFS('HEAD PROGRAMADO'!$E$6:$E$75,'HEAD PROGRAMADO'!$A$6:$A$75,A16,'HEAD PROGRAMADO'!$B$6:$B$75,B16))</f>
        <v>1</v>
      </c>
      <c r="E16" s="3">
        <f t="shared" si="0"/>
        <v>0</v>
      </c>
      <c r="F16" s="6" t="str">
        <f t="shared" si="1"/>
        <v>HEAD ADEQUADO</v>
      </c>
      <c r="G16" s="6" t="str">
        <f t="shared" si="2"/>
        <v>MANTER</v>
      </c>
      <c r="H16" s="6"/>
    </row>
    <row r="17" spans="1:8" x14ac:dyDescent="0.25">
      <c r="A17" s="6" t="s">
        <v>16</v>
      </c>
      <c r="B17" s="6" t="s">
        <v>24</v>
      </c>
      <c r="C17" s="3">
        <v>12</v>
      </c>
      <c r="D17" s="3">
        <f>IF(SUMIFS('HEAD PROGRAMADO'!$E$6:$E$75,'HEAD PROGRAMADO'!$A$6:$A$75,A17,'HEAD PROGRAMADO'!$B$6:$B$75,B17)=0,"",SUMIFS('HEAD PROGRAMADO'!$E$6:$E$75,'HEAD PROGRAMADO'!$A$6:$A$75,A17,'HEAD PROGRAMADO'!$B$6:$B$75,B17))</f>
        <v>10</v>
      </c>
      <c r="E17" s="3">
        <f t="shared" si="0"/>
        <v>-2</v>
      </c>
      <c r="F17" s="6" t="str">
        <f t="shared" si="1"/>
        <v>ACIMA DO HEAD</v>
      </c>
      <c r="G17" s="6" t="str">
        <f t="shared" si="2"/>
        <v>REDUÇÃO</v>
      </c>
      <c r="H17" s="6"/>
    </row>
    <row r="18" spans="1:8" x14ac:dyDescent="0.25">
      <c r="A18" s="6" t="s">
        <v>16</v>
      </c>
      <c r="B18" s="6" t="s">
        <v>25</v>
      </c>
      <c r="C18" s="3">
        <v>4</v>
      </c>
      <c r="D18" s="3">
        <f>IF(SUMIFS('HEAD PROGRAMADO'!$E$6:$E$75,'HEAD PROGRAMADO'!$A$6:$A$75,A18,'HEAD PROGRAMADO'!$B$6:$B$75,B18)=0,"",SUMIFS('HEAD PROGRAMADO'!$E$6:$E$75,'HEAD PROGRAMADO'!$A$6:$A$75,A18,'HEAD PROGRAMADO'!$B$6:$B$75,B18))</f>
        <v>4</v>
      </c>
      <c r="E18" s="3">
        <f t="shared" si="0"/>
        <v>0</v>
      </c>
      <c r="F18" s="6" t="str">
        <f t="shared" si="1"/>
        <v>HEAD ADEQUADO</v>
      </c>
      <c r="G18" s="6" t="str">
        <f t="shared" si="2"/>
        <v>MANTER</v>
      </c>
      <c r="H18" s="6"/>
    </row>
    <row r="19" spans="1:8" x14ac:dyDescent="0.25">
      <c r="A19" s="6" t="s">
        <v>26</v>
      </c>
      <c r="B19" s="6" t="s">
        <v>27</v>
      </c>
      <c r="C19" s="3">
        <v>12</v>
      </c>
      <c r="D19" s="3">
        <f>IF(SUMIFS('HEAD PROGRAMADO'!$E$6:$E$75,'HEAD PROGRAMADO'!$A$6:$A$75,A19,'HEAD PROGRAMADO'!$B$6:$B$75,B19)=0,"",SUMIFS('HEAD PROGRAMADO'!$E$6:$E$75,'HEAD PROGRAMADO'!$A$6:$A$75,A19,'HEAD PROGRAMADO'!$B$6:$B$75,B19))</f>
        <v>12</v>
      </c>
      <c r="E19" s="3">
        <f t="shared" si="0"/>
        <v>0</v>
      </c>
      <c r="F19" s="6" t="str">
        <f t="shared" si="1"/>
        <v>HEAD ADEQUADO</v>
      </c>
      <c r="G19" s="6" t="str">
        <f t="shared" si="2"/>
        <v>MANTER</v>
      </c>
      <c r="H19" s="6"/>
    </row>
    <row r="20" spans="1:8" ht="30" customHeight="1" x14ac:dyDescent="0.25">
      <c r="A20" s="6" t="s">
        <v>28</v>
      </c>
      <c r="B20" s="6" t="s">
        <v>29</v>
      </c>
      <c r="C20" s="3">
        <v>5</v>
      </c>
      <c r="D20" s="3">
        <f>IF(SUMIFS('HEAD PROGRAMADO'!$E$6:$E$75,'HEAD PROGRAMADO'!$A$6:$A$75,A20,'HEAD PROGRAMADO'!$B$6:$B$75,B20)=0,"",SUMIFS('HEAD PROGRAMADO'!$E$6:$E$75,'HEAD PROGRAMADO'!$A$6:$A$75,A20,'HEAD PROGRAMADO'!$B$6:$B$75,B20))</f>
        <v>5</v>
      </c>
      <c r="E20" s="3">
        <f t="shared" si="0"/>
        <v>0</v>
      </c>
      <c r="F20" s="6" t="str">
        <f t="shared" si="1"/>
        <v>HEAD ADEQUADO</v>
      </c>
      <c r="G20" s="6" t="str">
        <f t="shared" si="2"/>
        <v>MANTER</v>
      </c>
      <c r="H20" s="6"/>
    </row>
    <row r="22" spans="1:8" x14ac:dyDescent="0.25">
      <c r="A22" s="9" t="s">
        <v>30</v>
      </c>
      <c r="B22" s="10"/>
      <c r="C22" s="10">
        <f>SUM(C7:C20)</f>
        <v>203</v>
      </c>
      <c r="D22" s="10">
        <f>IF(COUNT(D7:D20)=0,"",SUM(D7:D20))</f>
        <v>212</v>
      </c>
      <c r="E22" s="10">
        <f>IF(D22="","",D22-C22)</f>
        <v>9</v>
      </c>
    </row>
    <row r="25" spans="1:8" ht="15.75" customHeight="1" x14ac:dyDescent="0.25">
      <c r="A25" s="19" t="s">
        <v>31</v>
      </c>
      <c r="B25" s="18"/>
      <c r="C25" s="18"/>
      <c r="D25" s="18"/>
    </row>
    <row r="26" spans="1:8" x14ac:dyDescent="0.25">
      <c r="A26" s="11" t="s">
        <v>32</v>
      </c>
      <c r="B26" s="3">
        <f>COUNTIF(F7:F20,"ABAIXO DO HEAD")</f>
        <v>2</v>
      </c>
    </row>
    <row r="27" spans="1:8" x14ac:dyDescent="0.25">
      <c r="A27" s="11" t="s">
        <v>33</v>
      </c>
      <c r="B27" s="3">
        <f>COUNTIF(F7:F20,"ACIMA DO HEAD")</f>
        <v>3</v>
      </c>
    </row>
    <row r="28" spans="1:8" x14ac:dyDescent="0.25">
      <c r="A28" s="11" t="s">
        <v>34</v>
      </c>
      <c r="B28" s="3">
        <f>COUNTIF(F7:F20,"HEAD ADEQUADO")</f>
        <v>9</v>
      </c>
    </row>
    <row r="29" spans="1:8" x14ac:dyDescent="0.25">
      <c r="A29" s="11" t="s">
        <v>35</v>
      </c>
      <c r="B29" s="3">
        <f>COUNTIF(F7:F20,"AGUARDANDO HEAD")</f>
        <v>0</v>
      </c>
    </row>
  </sheetData>
  <autoFilter ref="A6:H20" xr:uid="{00000000-0009-0000-0000-000002000000}"/>
  <mergeCells count="3">
    <mergeCell ref="A4:H4"/>
    <mergeCell ref="A25:D25"/>
    <mergeCell ref="A1:H1"/>
  </mergeCells>
  <conditionalFormatting sqref="E7:E20">
    <cfRule type="cellIs" dxfId="10" priority="1" operator="greaterThan">
      <formula>0</formula>
    </cfRule>
    <cfRule type="cellIs" dxfId="9" priority="2" operator="lessThan">
      <formula>0</formula>
    </cfRule>
    <cfRule type="cellIs" dxfId="8" priority="3" operator="equal">
      <formula>0</formula>
    </cfRule>
  </conditionalFormatting>
  <conditionalFormatting sqref="F7:F20">
    <cfRule type="expression" dxfId="7" priority="4">
      <formula>$F7="ABAIXO DO HEAD"</formula>
    </cfRule>
    <cfRule type="expression" dxfId="6" priority="5">
      <formula>$F7="ACIMA DO HEAD"</formula>
    </cfRule>
    <cfRule type="expression" dxfId="5" priority="6">
      <formula>$F7="HEAD ADEQUADO"</formula>
    </cfRule>
    <cfRule type="expression" dxfId="4" priority="7">
      <formula>$F7="AGUARDANDO HEAD"</formula>
    </cfRule>
  </conditionalFormatting>
  <pageMargins left="0.25" right="0.25" top="0.5" bottom="0.5" header="0.5" footer="0.5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90"/>
  <sheetViews>
    <sheetView showGridLines="0" workbookViewId="0">
      <pane ySplit="5" topLeftCell="A6" activePane="bottomLeft" state="frozen"/>
      <selection pane="bottomLeft"/>
    </sheetView>
  </sheetViews>
  <sheetFormatPr defaultRowHeight="15" x14ac:dyDescent="0.25"/>
  <cols>
    <col min="1" max="1" width="36" customWidth="1"/>
    <col min="2" max="2" width="30" customWidth="1"/>
    <col min="3" max="3" width="34" customWidth="1"/>
    <col min="4" max="4" width="14" customWidth="1"/>
    <col min="5" max="5" width="18" customWidth="1"/>
    <col min="6" max="6" width="14" customWidth="1"/>
    <col min="7" max="7" width="22" customWidth="1"/>
    <col min="8" max="8" width="20" customWidth="1"/>
    <col min="9" max="9" width="19" customWidth="1"/>
    <col min="10" max="10" width="12" customWidth="1"/>
  </cols>
  <sheetData>
    <row r="1" spans="1:10" ht="21" x14ac:dyDescent="0.35">
      <c r="A1" s="21" t="s">
        <v>302</v>
      </c>
      <c r="B1" s="18"/>
      <c r="C1" s="18"/>
      <c r="D1" s="18"/>
      <c r="E1" s="18"/>
      <c r="F1" s="18"/>
      <c r="G1" s="18"/>
      <c r="H1" s="18"/>
      <c r="I1" s="18"/>
      <c r="J1" s="18"/>
    </row>
    <row r="3" spans="1:10" x14ac:dyDescent="0.25">
      <c r="A3" s="24" t="s">
        <v>303</v>
      </c>
      <c r="B3" s="18"/>
      <c r="C3" s="18"/>
      <c r="D3" s="18"/>
      <c r="E3" s="18"/>
      <c r="F3" s="18"/>
      <c r="G3" s="18"/>
      <c r="H3" s="18"/>
      <c r="I3" s="18"/>
      <c r="J3" s="18"/>
    </row>
    <row r="5" spans="1:10" ht="30" x14ac:dyDescent="0.25">
      <c r="A5" s="12" t="s">
        <v>3</v>
      </c>
      <c r="B5" s="12" t="s">
        <v>4</v>
      </c>
      <c r="C5" s="12" t="s">
        <v>42</v>
      </c>
      <c r="D5" s="12" t="s">
        <v>5</v>
      </c>
      <c r="E5" s="12" t="s">
        <v>6</v>
      </c>
      <c r="F5" s="12" t="s">
        <v>304</v>
      </c>
      <c r="G5" s="12" t="s">
        <v>8</v>
      </c>
      <c r="H5" s="12" t="s">
        <v>305</v>
      </c>
      <c r="I5" s="12" t="s">
        <v>306</v>
      </c>
      <c r="J5" s="12" t="s">
        <v>307</v>
      </c>
    </row>
    <row r="6" spans="1:10" x14ac:dyDescent="0.25">
      <c r="A6" s="13">
        <f>'HEAD PROGRAMADO'!A6</f>
        <v>0</v>
      </c>
      <c r="B6" s="13">
        <f>'HEAD PROGRAMADO'!B6</f>
        <v>0</v>
      </c>
      <c r="C6" s="13">
        <f>'HEAD PROGRAMADO'!C6</f>
        <v>0</v>
      </c>
      <c r="D6" s="14">
        <f>'HEAD PROGRAMADO'!D6</f>
        <v>0</v>
      </c>
      <c r="E6" s="14">
        <f>'HEAD PROGRAMADO'!E6</f>
        <v>0</v>
      </c>
      <c r="F6" s="14">
        <f t="shared" ref="F6:F37" si="0">IF(E6="","",E6-D6)</f>
        <v>0</v>
      </c>
      <c r="G6" s="13" t="str">
        <f t="shared" ref="G6:G37" si="1">IF(E6="","AGUARDANDO PROGRAMAÇÃO",IF(F6&gt;0,"ABAIXO DO HEAD",IF(F6&lt;0,"ACIMA DO HEAD","HEAD ADEQUADO")))</f>
        <v>HEAD ADEQUADO</v>
      </c>
      <c r="H6" s="13" t="str">
        <f t="shared" ref="H6:H37" si="2">IF(E6="","PREENCHER",IF(F6&gt;0,"CONTRATAR",IF(F6&lt;0,"AVALIAR REDUÇÃO","MANTER")))</f>
        <v>MANTER</v>
      </c>
      <c r="I6" s="14">
        <f t="shared" ref="I6:I37" si="3">IF(F6&gt;0,F6,0)</f>
        <v>0</v>
      </c>
      <c r="J6" s="14">
        <f t="shared" ref="J6:J37" si="4">IF(F6&lt;0,-F6,0)</f>
        <v>0</v>
      </c>
    </row>
    <row r="7" spans="1:10" x14ac:dyDescent="0.25">
      <c r="A7" s="13" t="str">
        <f>'HEAD PROGRAMADO'!A7</f>
        <v>IMPERIO LOG LTDA</v>
      </c>
      <c r="B7" s="13" t="str">
        <f>'HEAD PROGRAMADO'!B7</f>
        <v>OPERACIONAL ARMAZEM</v>
      </c>
      <c r="C7" s="13" t="str">
        <f>'HEAD PROGRAMADO'!C7</f>
        <v>AUXILIAR DE SERVIÇOS GERAIS</v>
      </c>
      <c r="D7" s="14">
        <f>'HEAD PROGRAMADO'!D7</f>
        <v>4</v>
      </c>
      <c r="E7" s="14">
        <f>'HEAD PROGRAMADO'!E7</f>
        <v>4</v>
      </c>
      <c r="F7" s="14">
        <f t="shared" si="0"/>
        <v>0</v>
      </c>
      <c r="G7" s="13" t="str">
        <f t="shared" si="1"/>
        <v>HEAD ADEQUADO</v>
      </c>
      <c r="H7" s="13" t="str">
        <f t="shared" si="2"/>
        <v>MANTER</v>
      </c>
      <c r="I7" s="14">
        <f t="shared" si="3"/>
        <v>0</v>
      </c>
      <c r="J7" s="14">
        <f t="shared" si="4"/>
        <v>0</v>
      </c>
    </row>
    <row r="8" spans="1:10" x14ac:dyDescent="0.25">
      <c r="A8" s="13" t="str">
        <f>'HEAD PROGRAMADO'!A8</f>
        <v>IMPERIO LOG LTDA</v>
      </c>
      <c r="B8" s="13" t="str">
        <f>'HEAD PROGRAMADO'!B8</f>
        <v>OPERACIONAL ARMAZEM</v>
      </c>
      <c r="C8" s="13" t="str">
        <f>'HEAD PROGRAMADO'!C8</f>
        <v>ESTOQUISTA  "B"</v>
      </c>
      <c r="D8" s="14">
        <f>'HEAD PROGRAMADO'!D8</f>
        <v>1</v>
      </c>
      <c r="E8" s="14">
        <f>'HEAD PROGRAMADO'!E8</f>
        <v>0</v>
      </c>
      <c r="F8" s="14">
        <f t="shared" si="0"/>
        <v>-1</v>
      </c>
      <c r="G8" s="13" t="str">
        <f t="shared" si="1"/>
        <v>ACIMA DO HEAD</v>
      </c>
      <c r="H8" s="13" t="str">
        <f t="shared" si="2"/>
        <v>AVALIAR REDUÇÃO</v>
      </c>
      <c r="I8" s="14">
        <f t="shared" si="3"/>
        <v>0</v>
      </c>
      <c r="J8" s="14">
        <f t="shared" si="4"/>
        <v>1</v>
      </c>
    </row>
    <row r="9" spans="1:10" x14ac:dyDescent="0.25">
      <c r="A9" s="13" t="str">
        <f>'HEAD PROGRAMADO'!A9</f>
        <v>L LOG TRANSPORTES E SERVIÇOS LTDA</v>
      </c>
      <c r="B9" s="13" t="str">
        <f>'HEAD PROGRAMADO'!B9</f>
        <v>ADMINISTRATIVO</v>
      </c>
      <c r="C9" s="13" t="str">
        <f>'HEAD PROGRAMADO'!C9</f>
        <v>ASSISTENTE DE LOGISTICA</v>
      </c>
      <c r="D9" s="14">
        <f>'HEAD PROGRAMADO'!D9</f>
        <v>1</v>
      </c>
      <c r="E9" s="14">
        <f>'HEAD PROGRAMADO'!E9</f>
        <v>1</v>
      </c>
      <c r="F9" s="14">
        <f t="shared" si="0"/>
        <v>0</v>
      </c>
      <c r="G9" s="13" t="str">
        <f t="shared" si="1"/>
        <v>HEAD ADEQUADO</v>
      </c>
      <c r="H9" s="13" t="str">
        <f t="shared" si="2"/>
        <v>MANTER</v>
      </c>
      <c r="I9" s="14">
        <f t="shared" si="3"/>
        <v>0</v>
      </c>
      <c r="J9" s="14">
        <f t="shared" si="4"/>
        <v>0</v>
      </c>
    </row>
    <row r="10" spans="1:10" x14ac:dyDescent="0.25">
      <c r="A10" s="13" t="str">
        <f>'HEAD PROGRAMADO'!A10</f>
        <v>L LOG TRANSPORTES E SERVIÇOS LTDA</v>
      </c>
      <c r="B10" s="13" t="str">
        <f>'HEAD PROGRAMADO'!B10</f>
        <v>ADMINISTRATIVO</v>
      </c>
      <c r="C10" s="13" t="str">
        <f>'HEAD PROGRAMADO'!C10</f>
        <v>COORDENADOR DE TRANSPORTE</v>
      </c>
      <c r="D10" s="14">
        <f>'HEAD PROGRAMADO'!D10</f>
        <v>1</v>
      </c>
      <c r="E10" s="14">
        <f>'HEAD PROGRAMADO'!E10</f>
        <v>1</v>
      </c>
      <c r="F10" s="14">
        <f t="shared" si="0"/>
        <v>0</v>
      </c>
      <c r="G10" s="13" t="str">
        <f t="shared" si="1"/>
        <v>HEAD ADEQUADO</v>
      </c>
      <c r="H10" s="13" t="str">
        <f t="shared" si="2"/>
        <v>MANTER</v>
      </c>
      <c r="I10" s="14">
        <f t="shared" si="3"/>
        <v>0</v>
      </c>
      <c r="J10" s="14">
        <f t="shared" si="4"/>
        <v>0</v>
      </c>
    </row>
    <row r="11" spans="1:10" x14ac:dyDescent="0.25">
      <c r="A11" s="13" t="str">
        <f>'HEAD PROGRAMADO'!A11</f>
        <v>L LOG TRANSPORTES E SERVIÇOS LTDA</v>
      </c>
      <c r="B11" s="13" t="str">
        <f>'HEAD PROGRAMADO'!B11</f>
        <v>ADMINISTRATIVO</v>
      </c>
      <c r="C11" s="13" t="str">
        <f>'HEAD PROGRAMADO'!C11</f>
        <v>MENOR APRENDIZ</v>
      </c>
      <c r="D11" s="14">
        <f>'HEAD PROGRAMADO'!D11</f>
        <v>3</v>
      </c>
      <c r="E11" s="14">
        <f>'HEAD PROGRAMADO'!E11</f>
        <v>3</v>
      </c>
      <c r="F11" s="14">
        <f t="shared" si="0"/>
        <v>0</v>
      </c>
      <c r="G11" s="13" t="str">
        <f t="shared" si="1"/>
        <v>HEAD ADEQUADO</v>
      </c>
      <c r="H11" s="13" t="str">
        <f t="shared" si="2"/>
        <v>MANTER</v>
      </c>
      <c r="I11" s="14">
        <f t="shared" si="3"/>
        <v>0</v>
      </c>
      <c r="J11" s="14">
        <f t="shared" si="4"/>
        <v>0</v>
      </c>
    </row>
    <row r="12" spans="1:10" x14ac:dyDescent="0.25">
      <c r="A12" s="13" t="str">
        <f>'HEAD PROGRAMADO'!A12</f>
        <v>L LOG TRANSPORTES E SERVIÇOS LTDA</v>
      </c>
      <c r="B12" s="13" t="str">
        <f>'HEAD PROGRAMADO'!B12</f>
        <v>ENTREGA</v>
      </c>
      <c r="C12" s="13" t="str">
        <f>'HEAD PROGRAMADO'!C12</f>
        <v>AJUDANTE DE MOTORISTA II</v>
      </c>
      <c r="D12" s="14">
        <f>'HEAD PROGRAMADO'!D12</f>
        <v>2</v>
      </c>
      <c r="E12" s="14">
        <f>'HEAD PROGRAMADO'!E12</f>
        <v>6</v>
      </c>
      <c r="F12" s="14">
        <f t="shared" si="0"/>
        <v>4</v>
      </c>
      <c r="G12" s="13" t="str">
        <f t="shared" si="1"/>
        <v>ABAIXO DO HEAD</v>
      </c>
      <c r="H12" s="13" t="str">
        <f t="shared" si="2"/>
        <v>CONTRATAR</v>
      </c>
      <c r="I12" s="14">
        <f t="shared" si="3"/>
        <v>4</v>
      </c>
      <c r="J12" s="14">
        <f t="shared" si="4"/>
        <v>0</v>
      </c>
    </row>
    <row r="13" spans="1:10" x14ac:dyDescent="0.25">
      <c r="A13" s="13" t="str">
        <f>'HEAD PROGRAMADO'!A13</f>
        <v>L LOG TRANSPORTES E SERVIÇOS LTDA</v>
      </c>
      <c r="B13" s="13" t="str">
        <f>'HEAD PROGRAMADO'!B13</f>
        <v>ENTREGA</v>
      </c>
      <c r="C13" s="13" t="str">
        <f>'HEAD PROGRAMADO'!C13</f>
        <v>AJUDANTE DE MOTORISTA III</v>
      </c>
      <c r="D13" s="14">
        <f>'HEAD PROGRAMADO'!D13</f>
        <v>16</v>
      </c>
      <c r="E13" s="14">
        <f>'HEAD PROGRAMADO'!E13</f>
        <v>16</v>
      </c>
      <c r="F13" s="14">
        <f t="shared" si="0"/>
        <v>0</v>
      </c>
      <c r="G13" s="13" t="str">
        <f t="shared" si="1"/>
        <v>HEAD ADEQUADO</v>
      </c>
      <c r="H13" s="13" t="str">
        <f t="shared" si="2"/>
        <v>MANTER</v>
      </c>
      <c r="I13" s="14">
        <f t="shared" si="3"/>
        <v>0</v>
      </c>
      <c r="J13" s="14">
        <f t="shared" si="4"/>
        <v>0</v>
      </c>
    </row>
    <row r="14" spans="1:10" x14ac:dyDescent="0.25">
      <c r="A14" s="13" t="str">
        <f>'HEAD PROGRAMADO'!A14</f>
        <v>L LOG TRANSPORTES E SERVIÇOS LTDA</v>
      </c>
      <c r="B14" s="13" t="str">
        <f>'HEAD PROGRAMADO'!B14</f>
        <v>ENTREGA</v>
      </c>
      <c r="C14" s="13" t="str">
        <f>'HEAD PROGRAMADO'!C14</f>
        <v>AJUDANTE MOTORISTA I</v>
      </c>
      <c r="D14" s="14">
        <f>'HEAD PROGRAMADO'!D14</f>
        <v>16</v>
      </c>
      <c r="E14" s="14">
        <f>'HEAD PROGRAMADO'!E14</f>
        <v>16</v>
      </c>
      <c r="F14" s="14">
        <f t="shared" si="0"/>
        <v>0</v>
      </c>
      <c r="G14" s="13" t="str">
        <f t="shared" si="1"/>
        <v>HEAD ADEQUADO</v>
      </c>
      <c r="H14" s="13" t="str">
        <f t="shared" si="2"/>
        <v>MANTER</v>
      </c>
      <c r="I14" s="14">
        <f t="shared" si="3"/>
        <v>0</v>
      </c>
      <c r="J14" s="14">
        <f t="shared" si="4"/>
        <v>0</v>
      </c>
    </row>
    <row r="15" spans="1:10" x14ac:dyDescent="0.25">
      <c r="A15" s="13" t="str">
        <f>'HEAD PROGRAMADO'!A15</f>
        <v>L LOG TRANSPORTES E SERVIÇOS LTDA</v>
      </c>
      <c r="B15" s="13" t="str">
        <f>'HEAD PROGRAMADO'!B15</f>
        <v>ENTREGA</v>
      </c>
      <c r="C15" s="13" t="str">
        <f>'HEAD PROGRAMADO'!C15</f>
        <v>MOTORISTA CARRETEIRO</v>
      </c>
      <c r="D15" s="14">
        <f>'HEAD PROGRAMADO'!D15</f>
        <v>1</v>
      </c>
      <c r="E15" s="14">
        <f>'HEAD PROGRAMADO'!E15</f>
        <v>2</v>
      </c>
      <c r="F15" s="14">
        <f t="shared" si="0"/>
        <v>1</v>
      </c>
      <c r="G15" s="13" t="str">
        <f t="shared" si="1"/>
        <v>ABAIXO DO HEAD</v>
      </c>
      <c r="H15" s="13" t="str">
        <f t="shared" si="2"/>
        <v>CONTRATAR</v>
      </c>
      <c r="I15" s="14">
        <f t="shared" si="3"/>
        <v>1</v>
      </c>
      <c r="J15" s="14">
        <f t="shared" si="4"/>
        <v>0</v>
      </c>
    </row>
    <row r="16" spans="1:10" x14ac:dyDescent="0.25">
      <c r="A16" s="13" t="str">
        <f>'HEAD PROGRAMADO'!A16</f>
        <v>L LOG TRANSPORTES E SERVIÇOS LTDA</v>
      </c>
      <c r="B16" s="13" t="str">
        <f>'HEAD PROGRAMADO'!B16</f>
        <v>ENTREGA</v>
      </c>
      <c r="C16" s="13" t="str">
        <f>'HEAD PROGRAMADO'!C16</f>
        <v>MOTORISTA I</v>
      </c>
      <c r="D16" s="14">
        <f>'HEAD PROGRAMADO'!D16</f>
        <v>2</v>
      </c>
      <c r="E16" s="14">
        <f>'HEAD PROGRAMADO'!E16</f>
        <v>2</v>
      </c>
      <c r="F16" s="14">
        <f t="shared" si="0"/>
        <v>0</v>
      </c>
      <c r="G16" s="13" t="str">
        <f t="shared" si="1"/>
        <v>HEAD ADEQUADO</v>
      </c>
      <c r="H16" s="13" t="str">
        <f t="shared" si="2"/>
        <v>MANTER</v>
      </c>
      <c r="I16" s="14">
        <f t="shared" si="3"/>
        <v>0</v>
      </c>
      <c r="J16" s="14">
        <f t="shared" si="4"/>
        <v>0</v>
      </c>
    </row>
    <row r="17" spans="1:10" x14ac:dyDescent="0.25">
      <c r="A17" s="13" t="str">
        <f>'HEAD PROGRAMADO'!A17</f>
        <v>L LOG TRANSPORTES E SERVIÇOS LTDA</v>
      </c>
      <c r="B17" s="13" t="str">
        <f>'HEAD PROGRAMADO'!B17</f>
        <v>ENTREGA</v>
      </c>
      <c r="C17" s="13" t="str">
        <f>'HEAD PROGRAMADO'!C17</f>
        <v>MOTORISTA II</v>
      </c>
      <c r="D17" s="14">
        <f>'HEAD PROGRAMADO'!D17</f>
        <v>13</v>
      </c>
      <c r="E17" s="14">
        <f>'HEAD PROGRAMADO'!E17</f>
        <v>10</v>
      </c>
      <c r="F17" s="14">
        <f t="shared" si="0"/>
        <v>-3</v>
      </c>
      <c r="G17" s="13" t="str">
        <f t="shared" si="1"/>
        <v>ACIMA DO HEAD</v>
      </c>
      <c r="H17" s="13" t="str">
        <f t="shared" si="2"/>
        <v>AVALIAR REDUÇÃO</v>
      </c>
      <c r="I17" s="14">
        <f t="shared" si="3"/>
        <v>0</v>
      </c>
      <c r="J17" s="14">
        <f t="shared" si="4"/>
        <v>3</v>
      </c>
    </row>
    <row r="18" spans="1:10" x14ac:dyDescent="0.25">
      <c r="A18" s="13" t="str">
        <f>'HEAD PROGRAMADO'!A18</f>
        <v>L LOG TRANSPORTES E SERVIÇOS LTDA</v>
      </c>
      <c r="B18" s="13" t="str">
        <f>'HEAD PROGRAMADO'!B18</f>
        <v>ENTREGA</v>
      </c>
      <c r="C18" s="13" t="str">
        <f>'HEAD PROGRAMADO'!C18</f>
        <v>MOTORISTA III</v>
      </c>
      <c r="D18" s="14">
        <f>'HEAD PROGRAMADO'!D18</f>
        <v>20</v>
      </c>
      <c r="E18" s="14">
        <f>'HEAD PROGRAMADO'!E18</f>
        <v>20</v>
      </c>
      <c r="F18" s="14">
        <f t="shared" si="0"/>
        <v>0</v>
      </c>
      <c r="G18" s="13" t="str">
        <f t="shared" si="1"/>
        <v>HEAD ADEQUADO</v>
      </c>
      <c r="H18" s="13" t="str">
        <f t="shared" si="2"/>
        <v>MANTER</v>
      </c>
      <c r="I18" s="14">
        <f t="shared" si="3"/>
        <v>0</v>
      </c>
      <c r="J18" s="14">
        <f t="shared" si="4"/>
        <v>0</v>
      </c>
    </row>
    <row r="19" spans="1:10" x14ac:dyDescent="0.25">
      <c r="A19" s="13" t="str">
        <f>'HEAD PROGRAMADO'!A19</f>
        <v>LUBE DISTRIBUIDORA LTDA</v>
      </c>
      <c r="B19" s="13" t="str">
        <f>'HEAD PROGRAMADO'!B19</f>
        <v>ADMINISTRAÇÃO</v>
      </c>
      <c r="C19" s="13" t="str">
        <f>'HEAD PROGRAMADO'!C19</f>
        <v>ANALISTA DE CREDITO</v>
      </c>
      <c r="D19" s="14">
        <f>'HEAD PROGRAMADO'!D19</f>
        <v>1</v>
      </c>
      <c r="E19" s="14">
        <f>'HEAD PROGRAMADO'!E19</f>
        <v>1</v>
      </c>
      <c r="F19" s="14">
        <f t="shared" si="0"/>
        <v>0</v>
      </c>
      <c r="G19" s="13" t="str">
        <f t="shared" si="1"/>
        <v>HEAD ADEQUADO</v>
      </c>
      <c r="H19" s="13" t="str">
        <f t="shared" si="2"/>
        <v>MANTER</v>
      </c>
      <c r="I19" s="14">
        <f t="shared" si="3"/>
        <v>0</v>
      </c>
      <c r="J19" s="14">
        <f t="shared" si="4"/>
        <v>0</v>
      </c>
    </row>
    <row r="20" spans="1:10" x14ac:dyDescent="0.25">
      <c r="A20" s="13" t="str">
        <f>'HEAD PROGRAMADO'!A20</f>
        <v>LUBE DISTRIBUIDORA LTDA</v>
      </c>
      <c r="B20" s="13" t="str">
        <f>'HEAD PROGRAMADO'!B20</f>
        <v>ADMINISTRAÇÃO</v>
      </c>
      <c r="C20" s="13" t="str">
        <f>'HEAD PROGRAMADO'!C20</f>
        <v>ANALISTA DE DP</v>
      </c>
      <c r="D20" s="14">
        <f>'HEAD PROGRAMADO'!D20</f>
        <v>1</v>
      </c>
      <c r="E20" s="14">
        <f>'HEAD PROGRAMADO'!E20</f>
        <v>1</v>
      </c>
      <c r="F20" s="14">
        <f t="shared" si="0"/>
        <v>0</v>
      </c>
      <c r="G20" s="13" t="str">
        <f t="shared" si="1"/>
        <v>HEAD ADEQUADO</v>
      </c>
      <c r="H20" s="13" t="str">
        <f t="shared" si="2"/>
        <v>MANTER</v>
      </c>
      <c r="I20" s="14">
        <f t="shared" si="3"/>
        <v>0</v>
      </c>
      <c r="J20" s="14">
        <f t="shared" si="4"/>
        <v>0</v>
      </c>
    </row>
    <row r="21" spans="1:10" x14ac:dyDescent="0.25">
      <c r="A21" s="13" t="str">
        <f>'HEAD PROGRAMADO'!A21</f>
        <v>LUBE DISTRIBUIDORA LTDA</v>
      </c>
      <c r="B21" s="13" t="str">
        <f>'HEAD PROGRAMADO'!B21</f>
        <v>ADMINISTRAÇÃO</v>
      </c>
      <c r="C21" s="13" t="str">
        <f>'HEAD PROGRAMADO'!C21</f>
        <v>ANALISTA FINANCEIRO</v>
      </c>
      <c r="D21" s="14">
        <f>'HEAD PROGRAMADO'!D21</f>
        <v>1</v>
      </c>
      <c r="E21" s="14">
        <f>'HEAD PROGRAMADO'!E21</f>
        <v>1</v>
      </c>
      <c r="F21" s="14">
        <f t="shared" si="0"/>
        <v>0</v>
      </c>
      <c r="G21" s="13" t="str">
        <f t="shared" si="1"/>
        <v>HEAD ADEQUADO</v>
      </c>
      <c r="H21" s="13" t="str">
        <f t="shared" si="2"/>
        <v>MANTER</v>
      </c>
      <c r="I21" s="14">
        <f t="shared" si="3"/>
        <v>0</v>
      </c>
      <c r="J21" s="14">
        <f t="shared" si="4"/>
        <v>0</v>
      </c>
    </row>
    <row r="22" spans="1:10" x14ac:dyDescent="0.25">
      <c r="A22" s="13" t="str">
        <f>'HEAD PROGRAMADO'!A22</f>
        <v>LUBE DISTRIBUIDORA LTDA</v>
      </c>
      <c r="B22" s="13" t="str">
        <f>'HEAD PROGRAMADO'!B22</f>
        <v>ADMINISTRAÇÃO</v>
      </c>
      <c r="C22" s="13" t="str">
        <f>'HEAD PROGRAMADO'!C22</f>
        <v>ANALISTA FISCAL</v>
      </c>
      <c r="D22" s="14">
        <f>'HEAD PROGRAMADO'!D22</f>
        <v>2</v>
      </c>
      <c r="E22" s="14">
        <f>'HEAD PROGRAMADO'!E22</f>
        <v>2</v>
      </c>
      <c r="F22" s="14">
        <f t="shared" si="0"/>
        <v>0</v>
      </c>
      <c r="G22" s="13" t="str">
        <f t="shared" si="1"/>
        <v>HEAD ADEQUADO</v>
      </c>
      <c r="H22" s="13" t="str">
        <f t="shared" si="2"/>
        <v>MANTER</v>
      </c>
      <c r="I22" s="14">
        <f t="shared" si="3"/>
        <v>0</v>
      </c>
      <c r="J22" s="14">
        <f t="shared" si="4"/>
        <v>0</v>
      </c>
    </row>
    <row r="23" spans="1:10" x14ac:dyDescent="0.25">
      <c r="A23" s="13" t="str">
        <f>'HEAD PROGRAMADO'!A23</f>
        <v>LUBE DISTRIBUIDORA LTDA</v>
      </c>
      <c r="B23" s="13" t="str">
        <f>'HEAD PROGRAMADO'!B23</f>
        <v>ADMINISTRAÇÃO</v>
      </c>
      <c r="C23" s="13" t="str">
        <f>'HEAD PROGRAMADO'!C23</f>
        <v>ASSISTENTE ADMINISTRATIVO</v>
      </c>
      <c r="D23" s="14">
        <f>'HEAD PROGRAMADO'!D23</f>
        <v>4</v>
      </c>
      <c r="E23" s="14">
        <f>'HEAD PROGRAMADO'!E23</f>
        <v>4</v>
      </c>
      <c r="F23" s="14">
        <f t="shared" si="0"/>
        <v>0</v>
      </c>
      <c r="G23" s="13" t="str">
        <f t="shared" si="1"/>
        <v>HEAD ADEQUADO</v>
      </c>
      <c r="H23" s="13" t="str">
        <f t="shared" si="2"/>
        <v>MANTER</v>
      </c>
      <c r="I23" s="14">
        <f t="shared" si="3"/>
        <v>0</v>
      </c>
      <c r="J23" s="14">
        <f t="shared" si="4"/>
        <v>0</v>
      </c>
    </row>
    <row r="24" spans="1:10" x14ac:dyDescent="0.25">
      <c r="A24" s="13" t="str">
        <f>'HEAD PROGRAMADO'!A24</f>
        <v>LUBE DISTRIBUIDORA LTDA</v>
      </c>
      <c r="B24" s="13" t="str">
        <f>'HEAD PROGRAMADO'!B24</f>
        <v>ADMINISTRAÇÃO</v>
      </c>
      <c r="C24" s="13" t="str">
        <f>'HEAD PROGRAMADO'!C24</f>
        <v>ASSISTENTE DE TI</v>
      </c>
      <c r="D24" s="14">
        <f>'HEAD PROGRAMADO'!D24</f>
        <v>1</v>
      </c>
      <c r="E24" s="14">
        <f>'HEAD PROGRAMADO'!E24</f>
        <v>1</v>
      </c>
      <c r="F24" s="14">
        <f t="shared" si="0"/>
        <v>0</v>
      </c>
      <c r="G24" s="13" t="str">
        <f t="shared" si="1"/>
        <v>HEAD ADEQUADO</v>
      </c>
      <c r="H24" s="13" t="str">
        <f t="shared" si="2"/>
        <v>MANTER</v>
      </c>
      <c r="I24" s="14">
        <f t="shared" si="3"/>
        <v>0</v>
      </c>
      <c r="J24" s="14">
        <f t="shared" si="4"/>
        <v>0</v>
      </c>
    </row>
    <row r="25" spans="1:10" x14ac:dyDescent="0.25">
      <c r="A25" s="13" t="str">
        <f>'HEAD PROGRAMADO'!A25</f>
        <v>LUBE DISTRIBUIDORA LTDA</v>
      </c>
      <c r="B25" s="13" t="str">
        <f>'HEAD PROGRAMADO'!B25</f>
        <v>ADMINISTRAÇÃO</v>
      </c>
      <c r="C25" s="13" t="str">
        <f>'HEAD PROGRAMADO'!C25</f>
        <v>ASSISTENTE FINANCEIRO</v>
      </c>
      <c r="D25" s="14">
        <f>'HEAD PROGRAMADO'!D25</f>
        <v>1</v>
      </c>
      <c r="E25" s="14">
        <f>'HEAD PROGRAMADO'!E25</f>
        <v>1</v>
      </c>
      <c r="F25" s="14">
        <f t="shared" si="0"/>
        <v>0</v>
      </c>
      <c r="G25" s="13" t="str">
        <f t="shared" si="1"/>
        <v>HEAD ADEQUADO</v>
      </c>
      <c r="H25" s="13" t="str">
        <f t="shared" si="2"/>
        <v>MANTER</v>
      </c>
      <c r="I25" s="14">
        <f t="shared" si="3"/>
        <v>0</v>
      </c>
      <c r="J25" s="14">
        <f t="shared" si="4"/>
        <v>0</v>
      </c>
    </row>
    <row r="26" spans="1:10" x14ac:dyDescent="0.25">
      <c r="A26" s="13" t="str">
        <f>'HEAD PROGRAMADO'!A26</f>
        <v>LUBE DISTRIBUIDORA LTDA</v>
      </c>
      <c r="B26" s="13" t="str">
        <f>'HEAD PROGRAMADO'!B26</f>
        <v>ADMINISTRAÇÃO</v>
      </c>
      <c r="C26" s="13" t="str">
        <f>'HEAD PROGRAMADO'!C26</f>
        <v>AUXILIAR ADMINISTRATIVO</v>
      </c>
      <c r="D26" s="14">
        <f>'HEAD PROGRAMADO'!D26</f>
        <v>1</v>
      </c>
      <c r="E26" s="14">
        <f>'HEAD PROGRAMADO'!E26</f>
        <v>1</v>
      </c>
      <c r="F26" s="14">
        <f t="shared" si="0"/>
        <v>0</v>
      </c>
      <c r="G26" s="13" t="str">
        <f t="shared" si="1"/>
        <v>HEAD ADEQUADO</v>
      </c>
      <c r="H26" s="13" t="str">
        <f t="shared" si="2"/>
        <v>MANTER</v>
      </c>
      <c r="I26" s="14">
        <f t="shared" si="3"/>
        <v>0</v>
      </c>
      <c r="J26" s="14">
        <f t="shared" si="4"/>
        <v>0</v>
      </c>
    </row>
    <row r="27" spans="1:10" x14ac:dyDescent="0.25">
      <c r="A27" s="13" t="str">
        <f>'HEAD PROGRAMADO'!A27</f>
        <v>LUBE DISTRIBUIDORA LTDA</v>
      </c>
      <c r="B27" s="13" t="str">
        <f>'HEAD PROGRAMADO'!B27</f>
        <v>ADMINISTRAÇÃO</v>
      </c>
      <c r="C27" s="13" t="str">
        <f>'HEAD PROGRAMADO'!C27</f>
        <v>AUXILIAR DE ESCRITÓTIO</v>
      </c>
      <c r="D27" s="14">
        <f>'HEAD PROGRAMADO'!D27</f>
        <v>1</v>
      </c>
      <c r="E27" s="14">
        <f>'HEAD PROGRAMADO'!E27</f>
        <v>1</v>
      </c>
      <c r="F27" s="14">
        <f t="shared" si="0"/>
        <v>0</v>
      </c>
      <c r="G27" s="13" t="str">
        <f t="shared" si="1"/>
        <v>HEAD ADEQUADO</v>
      </c>
      <c r="H27" s="13" t="str">
        <f t="shared" si="2"/>
        <v>MANTER</v>
      </c>
      <c r="I27" s="14">
        <f t="shared" si="3"/>
        <v>0</v>
      </c>
      <c r="J27" s="14">
        <f t="shared" si="4"/>
        <v>0</v>
      </c>
    </row>
    <row r="28" spans="1:10" x14ac:dyDescent="0.25">
      <c r="A28" s="13" t="str">
        <f>'HEAD PROGRAMADO'!A28</f>
        <v>LUBE DISTRIBUIDORA LTDA</v>
      </c>
      <c r="B28" s="13" t="str">
        <f>'HEAD PROGRAMADO'!B28</f>
        <v>ADMINISTRAÇÃO</v>
      </c>
      <c r="C28" s="13" t="str">
        <f>'HEAD PROGRAMADO'!C28</f>
        <v>AUXILIAR FISCAL</v>
      </c>
      <c r="D28" s="14">
        <f>'HEAD PROGRAMADO'!D28</f>
        <v>1</v>
      </c>
      <c r="E28" s="14">
        <f>'HEAD PROGRAMADO'!E28</f>
        <v>1</v>
      </c>
      <c r="F28" s="14">
        <f t="shared" si="0"/>
        <v>0</v>
      </c>
      <c r="G28" s="13" t="str">
        <f t="shared" si="1"/>
        <v>HEAD ADEQUADO</v>
      </c>
      <c r="H28" s="13" t="str">
        <f t="shared" si="2"/>
        <v>MANTER</v>
      </c>
      <c r="I28" s="14">
        <f t="shared" si="3"/>
        <v>0</v>
      </c>
      <c r="J28" s="14">
        <f t="shared" si="4"/>
        <v>0</v>
      </c>
    </row>
    <row r="29" spans="1:10" x14ac:dyDescent="0.25">
      <c r="A29" s="13" t="str">
        <f>'HEAD PROGRAMADO'!A29</f>
        <v>LUBE DISTRIBUIDORA LTDA</v>
      </c>
      <c r="B29" s="13" t="str">
        <f>'HEAD PROGRAMADO'!B29</f>
        <v>ADMINISTRAÇÃO</v>
      </c>
      <c r="C29" s="13" t="str">
        <f>'HEAD PROGRAMADO'!C29</f>
        <v>COORDENADOR DE RH</v>
      </c>
      <c r="D29" s="14">
        <f>'HEAD PROGRAMADO'!D29</f>
        <v>1</v>
      </c>
      <c r="E29" s="14">
        <f>'HEAD PROGRAMADO'!E29</f>
        <v>1</v>
      </c>
      <c r="F29" s="14">
        <f t="shared" si="0"/>
        <v>0</v>
      </c>
      <c r="G29" s="13" t="str">
        <f t="shared" si="1"/>
        <v>HEAD ADEQUADO</v>
      </c>
      <c r="H29" s="13" t="str">
        <f t="shared" si="2"/>
        <v>MANTER</v>
      </c>
      <c r="I29" s="14">
        <f t="shared" si="3"/>
        <v>0</v>
      </c>
      <c r="J29" s="14">
        <f t="shared" si="4"/>
        <v>0</v>
      </c>
    </row>
    <row r="30" spans="1:10" x14ac:dyDescent="0.25">
      <c r="A30" s="13" t="str">
        <f>'HEAD PROGRAMADO'!A30</f>
        <v>LUBE DISTRIBUIDORA LTDA</v>
      </c>
      <c r="B30" s="13" t="str">
        <f>'HEAD PROGRAMADO'!B30</f>
        <v>ADMINISTRAÇÃO</v>
      </c>
      <c r="C30" s="13" t="str">
        <f>'HEAD PROGRAMADO'!C30</f>
        <v>ENCARREGADO DE FATURAMENTO</v>
      </c>
      <c r="D30" s="14">
        <f>'HEAD PROGRAMADO'!D30</f>
        <v>1</v>
      </c>
      <c r="E30" s="14">
        <f>'HEAD PROGRAMADO'!E30</f>
        <v>1</v>
      </c>
      <c r="F30" s="14">
        <f t="shared" si="0"/>
        <v>0</v>
      </c>
      <c r="G30" s="13" t="str">
        <f t="shared" si="1"/>
        <v>HEAD ADEQUADO</v>
      </c>
      <c r="H30" s="13" t="str">
        <f t="shared" si="2"/>
        <v>MANTER</v>
      </c>
      <c r="I30" s="14">
        <f t="shared" si="3"/>
        <v>0</v>
      </c>
      <c r="J30" s="14">
        <f t="shared" si="4"/>
        <v>0</v>
      </c>
    </row>
    <row r="31" spans="1:10" x14ac:dyDescent="0.25">
      <c r="A31" s="13" t="str">
        <f>'HEAD PROGRAMADO'!A31</f>
        <v>LUBE DISTRIBUIDORA LTDA</v>
      </c>
      <c r="B31" s="13" t="str">
        <f>'HEAD PROGRAMADO'!B31</f>
        <v>ADMINISTRAÇÃO</v>
      </c>
      <c r="C31" s="13" t="str">
        <f>'HEAD PROGRAMADO'!C31</f>
        <v>MENOR APRENDIZ</v>
      </c>
      <c r="D31" s="14">
        <f>'HEAD PROGRAMADO'!D31</f>
        <v>3</v>
      </c>
      <c r="E31" s="14">
        <f>'HEAD PROGRAMADO'!E31</f>
        <v>3</v>
      </c>
      <c r="F31" s="14">
        <f t="shared" si="0"/>
        <v>0</v>
      </c>
      <c r="G31" s="13" t="str">
        <f t="shared" si="1"/>
        <v>HEAD ADEQUADO</v>
      </c>
      <c r="H31" s="13" t="str">
        <f t="shared" si="2"/>
        <v>MANTER</v>
      </c>
      <c r="I31" s="14">
        <f t="shared" si="3"/>
        <v>0</v>
      </c>
      <c r="J31" s="14">
        <f t="shared" si="4"/>
        <v>0</v>
      </c>
    </row>
    <row r="32" spans="1:10" x14ac:dyDescent="0.25">
      <c r="A32" s="13" t="str">
        <f>'HEAD PROGRAMADO'!A32</f>
        <v>LUBE DISTRIBUIDORA LTDA</v>
      </c>
      <c r="B32" s="13" t="str">
        <f>'HEAD PROGRAMADO'!B32</f>
        <v>ADMINISTRAÇÃO</v>
      </c>
      <c r="C32" s="13" t="str">
        <f>'HEAD PROGRAMADO'!C32</f>
        <v>SUPERVISOR ADMINISTRATIVO</v>
      </c>
      <c r="D32" s="14">
        <f>'HEAD PROGRAMADO'!D32</f>
        <v>1</v>
      </c>
      <c r="E32" s="14">
        <f>'HEAD PROGRAMADO'!E32</f>
        <v>1</v>
      </c>
      <c r="F32" s="14">
        <f t="shared" si="0"/>
        <v>0</v>
      </c>
      <c r="G32" s="13" t="str">
        <f t="shared" si="1"/>
        <v>HEAD ADEQUADO</v>
      </c>
      <c r="H32" s="13" t="str">
        <f t="shared" si="2"/>
        <v>MANTER</v>
      </c>
      <c r="I32" s="14">
        <f t="shared" si="3"/>
        <v>0</v>
      </c>
      <c r="J32" s="14">
        <f t="shared" si="4"/>
        <v>0</v>
      </c>
    </row>
    <row r="33" spans="1:10" x14ac:dyDescent="0.25">
      <c r="A33" s="13" t="str">
        <f>'HEAD PROGRAMADO'!A33</f>
        <v>LUBE DISTRIBUIDORA LTDA</v>
      </c>
      <c r="B33" s="13" t="str">
        <f>'HEAD PROGRAMADO'!B33</f>
        <v>AFASTADOS INSS</v>
      </c>
      <c r="C33" s="13" t="str">
        <f>'HEAD PROGRAMADO'!C33</f>
        <v>AJUDANTE DE CARGA E DESCARGA</v>
      </c>
      <c r="D33" s="14">
        <f>'HEAD PROGRAMADO'!D33</f>
        <v>1</v>
      </c>
      <c r="E33" s="14">
        <f>'HEAD PROGRAMADO'!E33</f>
        <v>0</v>
      </c>
      <c r="F33" s="14">
        <f t="shared" si="0"/>
        <v>-1</v>
      </c>
      <c r="G33" s="13" t="str">
        <f t="shared" si="1"/>
        <v>ACIMA DO HEAD</v>
      </c>
      <c r="H33" s="13" t="str">
        <f t="shared" si="2"/>
        <v>AVALIAR REDUÇÃO</v>
      </c>
      <c r="I33" s="14">
        <f t="shared" si="3"/>
        <v>0</v>
      </c>
      <c r="J33" s="14">
        <f t="shared" si="4"/>
        <v>1</v>
      </c>
    </row>
    <row r="34" spans="1:10" x14ac:dyDescent="0.25">
      <c r="A34" s="13" t="str">
        <f>'HEAD PROGRAMADO'!A34</f>
        <v>LUBE DISTRIBUIDORA LTDA</v>
      </c>
      <c r="B34" s="13" t="str">
        <f>'HEAD PROGRAMADO'!B34</f>
        <v>AFASTADOS INSS</v>
      </c>
      <c r="C34" s="13" t="str">
        <f>'HEAD PROGRAMADO'!C34</f>
        <v>AJUDANTE DE MOTORISTA II</v>
      </c>
      <c r="D34" s="14">
        <f>'HEAD PROGRAMADO'!D34</f>
        <v>2</v>
      </c>
      <c r="E34" s="14">
        <f>'HEAD PROGRAMADO'!E34</f>
        <v>0</v>
      </c>
      <c r="F34" s="14">
        <f t="shared" si="0"/>
        <v>-2</v>
      </c>
      <c r="G34" s="13" t="str">
        <f t="shared" si="1"/>
        <v>ACIMA DO HEAD</v>
      </c>
      <c r="H34" s="13" t="str">
        <f t="shared" si="2"/>
        <v>AVALIAR REDUÇÃO</v>
      </c>
      <c r="I34" s="14">
        <f t="shared" si="3"/>
        <v>0</v>
      </c>
      <c r="J34" s="14">
        <f t="shared" si="4"/>
        <v>2</v>
      </c>
    </row>
    <row r="35" spans="1:10" x14ac:dyDescent="0.25">
      <c r="A35" s="13" t="str">
        <f>'HEAD PROGRAMADO'!A35</f>
        <v>LUBE DISTRIBUIDORA LTDA</v>
      </c>
      <c r="B35" s="13" t="str">
        <f>'HEAD PROGRAMADO'!B35</f>
        <v>AFASTADOS INSS</v>
      </c>
      <c r="C35" s="13" t="str">
        <f>'HEAD PROGRAMADO'!C35</f>
        <v>OPERADOR DE EMPILHADEIRA</v>
      </c>
      <c r="D35" s="14">
        <f>'HEAD PROGRAMADO'!D35</f>
        <v>1</v>
      </c>
      <c r="E35" s="14">
        <f>'HEAD PROGRAMADO'!E35</f>
        <v>0</v>
      </c>
      <c r="F35" s="14">
        <f t="shared" si="0"/>
        <v>-1</v>
      </c>
      <c r="G35" s="13" t="str">
        <f t="shared" si="1"/>
        <v>ACIMA DO HEAD</v>
      </c>
      <c r="H35" s="13" t="str">
        <f t="shared" si="2"/>
        <v>AVALIAR REDUÇÃO</v>
      </c>
      <c r="I35" s="14">
        <f t="shared" si="3"/>
        <v>0</v>
      </c>
      <c r="J35" s="14">
        <f t="shared" si="4"/>
        <v>1</v>
      </c>
    </row>
    <row r="36" spans="1:10" x14ac:dyDescent="0.25">
      <c r="A36" s="13" t="str">
        <f>'HEAD PROGRAMADO'!A36</f>
        <v>LUBE DISTRIBUIDORA LTDA</v>
      </c>
      <c r="B36" s="13" t="str">
        <f>'HEAD PROGRAMADO'!B36</f>
        <v>IMPACESSO</v>
      </c>
      <c r="C36" s="13" t="str">
        <f>'HEAD PROGRAMADO'!C36</f>
        <v>Controlador de Acesso</v>
      </c>
      <c r="D36" s="14">
        <f>'HEAD PROGRAMADO'!D36</f>
        <v>4</v>
      </c>
      <c r="E36" s="14">
        <f>'HEAD PROGRAMADO'!E36</f>
        <v>4</v>
      </c>
      <c r="F36" s="14">
        <f t="shared" si="0"/>
        <v>0</v>
      </c>
      <c r="G36" s="13" t="str">
        <f t="shared" si="1"/>
        <v>HEAD ADEQUADO</v>
      </c>
      <c r="H36" s="13" t="str">
        <f t="shared" si="2"/>
        <v>MANTER</v>
      </c>
      <c r="I36" s="14">
        <f t="shared" si="3"/>
        <v>0</v>
      </c>
      <c r="J36" s="14">
        <f t="shared" si="4"/>
        <v>0</v>
      </c>
    </row>
    <row r="37" spans="1:10" x14ac:dyDescent="0.25">
      <c r="A37" s="13" t="str">
        <f>'HEAD PROGRAMADO'!A37</f>
        <v>LUBE DISTRIBUIDORA LTDA</v>
      </c>
      <c r="B37" s="13" t="str">
        <f>'HEAD PROGRAMADO'!B37</f>
        <v>IMPADM</v>
      </c>
      <c r="C37" s="13" t="str">
        <f>'HEAD PROGRAMADO'!C37</f>
        <v>ASSISTENTE FISCAL II</v>
      </c>
      <c r="D37" s="14">
        <f>'HEAD PROGRAMADO'!D37</f>
        <v>1</v>
      </c>
      <c r="E37" s="14">
        <f>'HEAD PROGRAMADO'!E37</f>
        <v>1</v>
      </c>
      <c r="F37" s="14">
        <f t="shared" si="0"/>
        <v>0</v>
      </c>
      <c r="G37" s="13" t="str">
        <f t="shared" si="1"/>
        <v>HEAD ADEQUADO</v>
      </c>
      <c r="H37" s="13" t="str">
        <f t="shared" si="2"/>
        <v>MANTER</v>
      </c>
      <c r="I37" s="14">
        <f t="shared" si="3"/>
        <v>0</v>
      </c>
      <c r="J37" s="14">
        <f t="shared" si="4"/>
        <v>0</v>
      </c>
    </row>
    <row r="38" spans="1:10" x14ac:dyDescent="0.25">
      <c r="A38" s="13" t="str">
        <f>'HEAD PROGRAMADO'!A38</f>
        <v>LUBE DISTRIBUIDORA LTDA</v>
      </c>
      <c r="B38" s="13" t="str">
        <f>'HEAD PROGRAMADO'!B38</f>
        <v>IMPDIA</v>
      </c>
      <c r="C38" s="13" t="str">
        <f>'HEAD PROGRAMADO'!C38</f>
        <v>ANALISTA DE GESTÃO DE ESTOQUE</v>
      </c>
      <c r="D38" s="14">
        <f>'HEAD PROGRAMADO'!D38</f>
        <v>1</v>
      </c>
      <c r="E38" s="14">
        <f>'HEAD PROGRAMADO'!E38</f>
        <v>1</v>
      </c>
      <c r="F38" s="14">
        <f t="shared" ref="F38:F69" si="5">IF(E38="","",E38-D38)</f>
        <v>0</v>
      </c>
      <c r="G38" s="13" t="str">
        <f t="shared" ref="G38:G69" si="6">IF(E38="","AGUARDANDO PROGRAMAÇÃO",IF(F38&gt;0,"ABAIXO DO HEAD",IF(F38&lt;0,"ACIMA DO HEAD","HEAD ADEQUADO")))</f>
        <v>HEAD ADEQUADO</v>
      </c>
      <c r="H38" s="13" t="str">
        <f t="shared" ref="H38:H69" si="7">IF(E38="","PREENCHER",IF(F38&gt;0,"CONTRATAR",IF(F38&lt;0,"AVALIAR REDUÇÃO","MANTER")))</f>
        <v>MANTER</v>
      </c>
      <c r="I38" s="14">
        <f t="shared" ref="I38:I69" si="8">IF(F38&gt;0,F38,0)</f>
        <v>0</v>
      </c>
      <c r="J38" s="14">
        <f t="shared" ref="J38:J69" si="9">IF(F38&lt;0,-F38,0)</f>
        <v>0</v>
      </c>
    </row>
    <row r="39" spans="1:10" x14ac:dyDescent="0.25">
      <c r="A39" s="13" t="str">
        <f>'HEAD PROGRAMADO'!A39</f>
        <v>LUBE DISTRIBUIDORA LTDA</v>
      </c>
      <c r="B39" s="13" t="str">
        <f>'HEAD PROGRAMADO'!B39</f>
        <v>IMPDIA</v>
      </c>
      <c r="C39" s="13" t="str">
        <f>'HEAD PROGRAMADO'!C39</f>
        <v>ASSISTENTE DE ESTOQUE</v>
      </c>
      <c r="D39" s="14">
        <f>'HEAD PROGRAMADO'!D39</f>
        <v>1</v>
      </c>
      <c r="E39" s="14">
        <f>'HEAD PROGRAMADO'!E39</f>
        <v>1</v>
      </c>
      <c r="F39" s="14">
        <f t="shared" si="5"/>
        <v>0</v>
      </c>
      <c r="G39" s="13" t="str">
        <f t="shared" si="6"/>
        <v>HEAD ADEQUADO</v>
      </c>
      <c r="H39" s="13" t="str">
        <f t="shared" si="7"/>
        <v>MANTER</v>
      </c>
      <c r="I39" s="14">
        <f t="shared" si="8"/>
        <v>0</v>
      </c>
      <c r="J39" s="14">
        <f t="shared" si="9"/>
        <v>0</v>
      </c>
    </row>
    <row r="40" spans="1:10" x14ac:dyDescent="0.25">
      <c r="A40" s="13" t="str">
        <f>'HEAD PROGRAMADO'!A40</f>
        <v>LUBE DISTRIBUIDORA LTDA</v>
      </c>
      <c r="B40" s="13" t="str">
        <f>'HEAD PROGRAMADO'!B40</f>
        <v>IMPDIA</v>
      </c>
      <c r="C40" s="13" t="str">
        <f>'HEAD PROGRAMADO'!C40</f>
        <v>ASSISTENTE DE ESTOQUE I</v>
      </c>
      <c r="D40" s="14">
        <f>'HEAD PROGRAMADO'!D40</f>
        <v>2</v>
      </c>
      <c r="E40" s="14">
        <f>'HEAD PROGRAMADO'!E40</f>
        <v>2</v>
      </c>
      <c r="F40" s="14">
        <f t="shared" si="5"/>
        <v>0</v>
      </c>
      <c r="G40" s="13" t="str">
        <f t="shared" si="6"/>
        <v>HEAD ADEQUADO</v>
      </c>
      <c r="H40" s="13" t="str">
        <f t="shared" si="7"/>
        <v>MANTER</v>
      </c>
      <c r="I40" s="14">
        <f t="shared" si="8"/>
        <v>0</v>
      </c>
      <c r="J40" s="14">
        <f t="shared" si="9"/>
        <v>0</v>
      </c>
    </row>
    <row r="41" spans="1:10" x14ac:dyDescent="0.25">
      <c r="A41" s="13" t="str">
        <f>'HEAD PROGRAMADO'!A41</f>
        <v>LUBE DISTRIBUIDORA LTDA</v>
      </c>
      <c r="B41" s="13" t="str">
        <f>'HEAD PROGRAMADO'!B41</f>
        <v>IMPDIA</v>
      </c>
      <c r="C41" s="13" t="str">
        <f>'HEAD PROGRAMADO'!C41</f>
        <v>ASSISTENTE FISCAL I</v>
      </c>
      <c r="D41" s="14">
        <f>'HEAD PROGRAMADO'!D41</f>
        <v>1</v>
      </c>
      <c r="E41" s="14">
        <f>'HEAD PROGRAMADO'!E41</f>
        <v>1</v>
      </c>
      <c r="F41" s="14">
        <f t="shared" si="5"/>
        <v>0</v>
      </c>
      <c r="G41" s="13" t="str">
        <f t="shared" si="6"/>
        <v>HEAD ADEQUADO</v>
      </c>
      <c r="H41" s="13" t="str">
        <f t="shared" si="7"/>
        <v>MANTER</v>
      </c>
      <c r="I41" s="14">
        <f t="shared" si="8"/>
        <v>0</v>
      </c>
      <c r="J41" s="14">
        <f t="shared" si="9"/>
        <v>0</v>
      </c>
    </row>
    <row r="42" spans="1:10" x14ac:dyDescent="0.25">
      <c r="A42" s="13" t="str">
        <f>'HEAD PROGRAMADO'!A42</f>
        <v>LUBE DISTRIBUIDORA LTDA</v>
      </c>
      <c r="B42" s="13" t="str">
        <f>'HEAD PROGRAMADO'!B42</f>
        <v>IMPDIA</v>
      </c>
      <c r="C42" s="13" t="str">
        <f>'HEAD PROGRAMADO'!C42</f>
        <v>AUXILIAR DE ESTOQUE</v>
      </c>
      <c r="D42" s="14">
        <f>'HEAD PROGRAMADO'!D42</f>
        <v>2</v>
      </c>
      <c r="E42" s="14">
        <f>'HEAD PROGRAMADO'!E42</f>
        <v>2</v>
      </c>
      <c r="F42" s="14">
        <f t="shared" si="5"/>
        <v>0</v>
      </c>
      <c r="G42" s="13" t="str">
        <f t="shared" si="6"/>
        <v>HEAD ADEQUADO</v>
      </c>
      <c r="H42" s="13" t="str">
        <f t="shared" si="7"/>
        <v>MANTER</v>
      </c>
      <c r="I42" s="14">
        <f t="shared" si="8"/>
        <v>0</v>
      </c>
      <c r="J42" s="14">
        <f t="shared" si="9"/>
        <v>0</v>
      </c>
    </row>
    <row r="43" spans="1:10" x14ac:dyDescent="0.25">
      <c r="A43" s="13" t="str">
        <f>'HEAD PROGRAMADO'!A43</f>
        <v>LUBE DISTRIBUIDORA LTDA</v>
      </c>
      <c r="B43" s="13" t="str">
        <f>'HEAD PROGRAMADO'!B43</f>
        <v>IMPDIA</v>
      </c>
      <c r="C43" s="13" t="str">
        <f>'HEAD PROGRAMADO'!C43</f>
        <v>CONFERENTE "B"</v>
      </c>
      <c r="D43" s="14">
        <f>'HEAD PROGRAMADO'!D43</f>
        <v>4</v>
      </c>
      <c r="E43" s="14">
        <f>'HEAD PROGRAMADO'!E43</f>
        <v>4</v>
      </c>
      <c r="F43" s="14">
        <f t="shared" si="5"/>
        <v>0</v>
      </c>
      <c r="G43" s="13" t="str">
        <f t="shared" si="6"/>
        <v>HEAD ADEQUADO</v>
      </c>
      <c r="H43" s="13" t="str">
        <f t="shared" si="7"/>
        <v>MANTER</v>
      </c>
      <c r="I43" s="14">
        <f t="shared" si="8"/>
        <v>0</v>
      </c>
      <c r="J43" s="14">
        <f t="shared" si="9"/>
        <v>0</v>
      </c>
    </row>
    <row r="44" spans="1:10" x14ac:dyDescent="0.25">
      <c r="A44" s="13" t="str">
        <f>'HEAD PROGRAMADO'!A44</f>
        <v>LUBE DISTRIBUIDORA LTDA</v>
      </c>
      <c r="B44" s="13" t="str">
        <f>'HEAD PROGRAMADO'!B44</f>
        <v>IMPDIA</v>
      </c>
      <c r="C44" s="13" t="str">
        <f>'HEAD PROGRAMADO'!C44</f>
        <v>CONFERENTE "C"</v>
      </c>
      <c r="D44" s="14">
        <f>'HEAD PROGRAMADO'!D44</f>
        <v>2</v>
      </c>
      <c r="E44" s="14">
        <f>'HEAD PROGRAMADO'!E44</f>
        <v>2</v>
      </c>
      <c r="F44" s="14">
        <f t="shared" si="5"/>
        <v>0</v>
      </c>
      <c r="G44" s="13" t="str">
        <f t="shared" si="6"/>
        <v>HEAD ADEQUADO</v>
      </c>
      <c r="H44" s="13" t="str">
        <f t="shared" si="7"/>
        <v>MANTER</v>
      </c>
      <c r="I44" s="14">
        <f t="shared" si="8"/>
        <v>0</v>
      </c>
      <c r="J44" s="14">
        <f t="shared" si="9"/>
        <v>0</v>
      </c>
    </row>
    <row r="45" spans="1:10" x14ac:dyDescent="0.25">
      <c r="A45" s="13" t="str">
        <f>'HEAD PROGRAMADO'!A45</f>
        <v>LUBE DISTRIBUIDORA LTDA</v>
      </c>
      <c r="B45" s="13" t="str">
        <f>'HEAD PROGRAMADO'!B45</f>
        <v>IMPDIA</v>
      </c>
      <c r="C45" s="13" t="str">
        <f>'HEAD PROGRAMADO'!C45</f>
        <v>ENCARREGADO DE ARMAZEM</v>
      </c>
      <c r="D45" s="14">
        <f>'HEAD PROGRAMADO'!D45</f>
        <v>1</v>
      </c>
      <c r="E45" s="14">
        <f>'HEAD PROGRAMADO'!E45</f>
        <v>1</v>
      </c>
      <c r="F45" s="14">
        <f t="shared" si="5"/>
        <v>0</v>
      </c>
      <c r="G45" s="13" t="str">
        <f t="shared" si="6"/>
        <v>HEAD ADEQUADO</v>
      </c>
      <c r="H45" s="13" t="str">
        <f t="shared" si="7"/>
        <v>MANTER</v>
      </c>
      <c r="I45" s="14">
        <f t="shared" si="8"/>
        <v>0</v>
      </c>
      <c r="J45" s="14">
        <f t="shared" si="9"/>
        <v>0</v>
      </c>
    </row>
    <row r="46" spans="1:10" x14ac:dyDescent="0.25">
      <c r="A46" s="13" t="str">
        <f>'HEAD PROGRAMADO'!A46</f>
        <v>LUBE DISTRIBUIDORA LTDA</v>
      </c>
      <c r="B46" s="13" t="str">
        <f>'HEAD PROGRAMADO'!B46</f>
        <v>IMPDIA</v>
      </c>
      <c r="C46" s="13" t="str">
        <f>'HEAD PROGRAMADO'!C46</f>
        <v>ESTOQUISTA</v>
      </c>
      <c r="D46" s="14">
        <f>'HEAD PROGRAMADO'!D46</f>
        <v>1</v>
      </c>
      <c r="E46" s="14">
        <f>'HEAD PROGRAMADO'!E46</f>
        <v>1</v>
      </c>
      <c r="F46" s="14">
        <f t="shared" si="5"/>
        <v>0</v>
      </c>
      <c r="G46" s="13" t="str">
        <f t="shared" si="6"/>
        <v>HEAD ADEQUADO</v>
      </c>
      <c r="H46" s="13" t="str">
        <f t="shared" si="7"/>
        <v>MANTER</v>
      </c>
      <c r="I46" s="14">
        <f t="shared" si="8"/>
        <v>0</v>
      </c>
      <c r="J46" s="14">
        <f t="shared" si="9"/>
        <v>0</v>
      </c>
    </row>
    <row r="47" spans="1:10" x14ac:dyDescent="0.25">
      <c r="A47" s="13" t="str">
        <f>'HEAD PROGRAMADO'!A47</f>
        <v>LUBE DISTRIBUIDORA LTDA</v>
      </c>
      <c r="B47" s="13" t="str">
        <f>'HEAD PROGRAMADO'!B47</f>
        <v>IMPDIA</v>
      </c>
      <c r="C47" s="13" t="str">
        <f>'HEAD PROGRAMADO'!C47</f>
        <v>ESTOQUISTA  "B"</v>
      </c>
      <c r="D47" s="14">
        <f>'HEAD PROGRAMADO'!D47</f>
        <v>6</v>
      </c>
      <c r="E47" s="14">
        <f>'HEAD PROGRAMADO'!E47</f>
        <v>6</v>
      </c>
      <c r="F47" s="14">
        <f t="shared" si="5"/>
        <v>0</v>
      </c>
      <c r="G47" s="13" t="str">
        <f t="shared" si="6"/>
        <v>HEAD ADEQUADO</v>
      </c>
      <c r="H47" s="13" t="str">
        <f t="shared" si="7"/>
        <v>MANTER</v>
      </c>
      <c r="I47" s="14">
        <f t="shared" si="8"/>
        <v>0</v>
      </c>
      <c r="J47" s="14">
        <f t="shared" si="9"/>
        <v>0</v>
      </c>
    </row>
    <row r="48" spans="1:10" x14ac:dyDescent="0.25">
      <c r="A48" s="13" t="str">
        <f>'HEAD PROGRAMADO'!A48</f>
        <v>LUBE DISTRIBUIDORA LTDA</v>
      </c>
      <c r="B48" s="13" t="str">
        <f>'HEAD PROGRAMADO'!B48</f>
        <v>IMPDIA</v>
      </c>
      <c r="C48" s="13" t="str">
        <f>'HEAD PROGRAMADO'!C48</f>
        <v>MOTORISTA II</v>
      </c>
      <c r="D48" s="14">
        <f>'HEAD PROGRAMADO'!D48</f>
        <v>1</v>
      </c>
      <c r="E48" s="14">
        <f>'HEAD PROGRAMADO'!E48</f>
        <v>0</v>
      </c>
      <c r="F48" s="14">
        <f t="shared" si="5"/>
        <v>-1</v>
      </c>
      <c r="G48" s="13" t="str">
        <f t="shared" si="6"/>
        <v>ACIMA DO HEAD</v>
      </c>
      <c r="H48" s="13" t="str">
        <f t="shared" si="7"/>
        <v>AVALIAR REDUÇÃO</v>
      </c>
      <c r="I48" s="14">
        <f t="shared" si="8"/>
        <v>0</v>
      </c>
      <c r="J48" s="14">
        <f t="shared" si="9"/>
        <v>1</v>
      </c>
    </row>
    <row r="49" spans="1:10" x14ac:dyDescent="0.25">
      <c r="A49" s="13" t="str">
        <f>'HEAD PROGRAMADO'!A49</f>
        <v>LUBE DISTRIBUIDORA LTDA</v>
      </c>
      <c r="B49" s="13" t="str">
        <f>'HEAD PROGRAMADO'!B49</f>
        <v>IMPDIA</v>
      </c>
      <c r="C49" s="13" t="str">
        <f>'HEAD PROGRAMADO'!C49</f>
        <v>OPERADOR DE EMPILHADEIRA</v>
      </c>
      <c r="D49" s="14">
        <f>'HEAD PROGRAMADO'!D49</f>
        <v>3</v>
      </c>
      <c r="E49" s="14">
        <f>'HEAD PROGRAMADO'!E49</f>
        <v>3</v>
      </c>
      <c r="F49" s="14">
        <f t="shared" si="5"/>
        <v>0</v>
      </c>
      <c r="G49" s="13" t="str">
        <f t="shared" si="6"/>
        <v>HEAD ADEQUADO</v>
      </c>
      <c r="H49" s="13" t="str">
        <f t="shared" si="7"/>
        <v>MANTER</v>
      </c>
      <c r="I49" s="14">
        <f t="shared" si="8"/>
        <v>0</v>
      </c>
      <c r="J49" s="14">
        <f t="shared" si="9"/>
        <v>0</v>
      </c>
    </row>
    <row r="50" spans="1:10" x14ac:dyDescent="0.25">
      <c r="A50" s="13" t="str">
        <f>'HEAD PROGRAMADO'!A50</f>
        <v>LUBE DISTRIBUIDORA LTDA</v>
      </c>
      <c r="B50" s="13" t="str">
        <f>'HEAD PROGRAMADO'!B50</f>
        <v>IMPNOITE</v>
      </c>
      <c r="C50" s="13" t="str">
        <f>'HEAD PROGRAMADO'!C50</f>
        <v>AUXILIAR DE LOGISTICA</v>
      </c>
      <c r="D50" s="14">
        <f>'HEAD PROGRAMADO'!D50</f>
        <v>2</v>
      </c>
      <c r="E50" s="14">
        <f>'HEAD PROGRAMADO'!E50</f>
        <v>1</v>
      </c>
      <c r="F50" s="14">
        <f t="shared" si="5"/>
        <v>-1</v>
      </c>
      <c r="G50" s="13" t="str">
        <f t="shared" si="6"/>
        <v>ACIMA DO HEAD</v>
      </c>
      <c r="H50" s="13" t="str">
        <f t="shared" si="7"/>
        <v>AVALIAR REDUÇÃO</v>
      </c>
      <c r="I50" s="14">
        <f t="shared" si="8"/>
        <v>0</v>
      </c>
      <c r="J50" s="14">
        <f t="shared" si="9"/>
        <v>1</v>
      </c>
    </row>
    <row r="51" spans="1:10" x14ac:dyDescent="0.25">
      <c r="A51" s="13" t="str">
        <f>'HEAD PROGRAMADO'!A51</f>
        <v>LUBE DISTRIBUIDORA LTDA</v>
      </c>
      <c r="B51" s="13" t="str">
        <f>'HEAD PROGRAMADO'!B51</f>
        <v>IMPNOITE</v>
      </c>
      <c r="C51" s="13" t="str">
        <f>'HEAD PROGRAMADO'!C51</f>
        <v>CONFERENTE "B"</v>
      </c>
      <c r="D51" s="14">
        <f>'HEAD PROGRAMADO'!D51</f>
        <v>1</v>
      </c>
      <c r="E51" s="14">
        <f>'HEAD PROGRAMADO'!E51</f>
        <v>1</v>
      </c>
      <c r="F51" s="14">
        <f t="shared" si="5"/>
        <v>0</v>
      </c>
      <c r="G51" s="13" t="str">
        <f t="shared" si="6"/>
        <v>HEAD ADEQUADO</v>
      </c>
      <c r="H51" s="13" t="str">
        <f t="shared" si="7"/>
        <v>MANTER</v>
      </c>
      <c r="I51" s="14">
        <f t="shared" si="8"/>
        <v>0</v>
      </c>
      <c r="J51" s="14">
        <f t="shared" si="9"/>
        <v>0</v>
      </c>
    </row>
    <row r="52" spans="1:10" x14ac:dyDescent="0.25">
      <c r="A52" s="13" t="str">
        <f>'HEAD PROGRAMADO'!A52</f>
        <v>LUBE DISTRIBUIDORA LTDA</v>
      </c>
      <c r="B52" s="13" t="str">
        <f>'HEAD PROGRAMADO'!B52</f>
        <v>IMPNOITE</v>
      </c>
      <c r="C52" s="13" t="str">
        <f>'HEAD PROGRAMADO'!C52</f>
        <v>CONFERENTE "C"</v>
      </c>
      <c r="D52" s="14">
        <f>'HEAD PROGRAMADO'!D52</f>
        <v>5</v>
      </c>
      <c r="E52" s="14">
        <f>'HEAD PROGRAMADO'!E52</f>
        <v>5</v>
      </c>
      <c r="F52" s="14">
        <f t="shared" si="5"/>
        <v>0</v>
      </c>
      <c r="G52" s="13" t="str">
        <f t="shared" si="6"/>
        <v>HEAD ADEQUADO</v>
      </c>
      <c r="H52" s="13" t="str">
        <f t="shared" si="7"/>
        <v>MANTER</v>
      </c>
      <c r="I52" s="14">
        <f t="shared" si="8"/>
        <v>0</v>
      </c>
      <c r="J52" s="14">
        <f t="shared" si="9"/>
        <v>0</v>
      </c>
    </row>
    <row r="53" spans="1:10" x14ac:dyDescent="0.25">
      <c r="A53" s="13" t="str">
        <f>'HEAD PROGRAMADO'!A53</f>
        <v>LUBE DISTRIBUIDORA LTDA</v>
      </c>
      <c r="B53" s="13" t="str">
        <f>'HEAD PROGRAMADO'!B53</f>
        <v>IMPNOITE</v>
      </c>
      <c r="C53" s="13" t="str">
        <f>'HEAD PROGRAMADO'!C53</f>
        <v>COORDENADOR ARMAZEM</v>
      </c>
      <c r="D53" s="14">
        <f>'HEAD PROGRAMADO'!D53</f>
        <v>1</v>
      </c>
      <c r="E53" s="14">
        <f>'HEAD PROGRAMADO'!E53</f>
        <v>1</v>
      </c>
      <c r="F53" s="14">
        <f t="shared" si="5"/>
        <v>0</v>
      </c>
      <c r="G53" s="13" t="str">
        <f t="shared" si="6"/>
        <v>HEAD ADEQUADO</v>
      </c>
      <c r="H53" s="13" t="str">
        <f t="shared" si="7"/>
        <v>MANTER</v>
      </c>
      <c r="I53" s="14">
        <f t="shared" si="8"/>
        <v>0</v>
      </c>
      <c r="J53" s="14">
        <f t="shared" si="9"/>
        <v>0</v>
      </c>
    </row>
    <row r="54" spans="1:10" x14ac:dyDescent="0.25">
      <c r="A54" s="13" t="str">
        <f>'HEAD PROGRAMADO'!A54</f>
        <v>LUBE DISTRIBUIDORA LTDA</v>
      </c>
      <c r="B54" s="13" t="str">
        <f>'HEAD PROGRAMADO'!B54</f>
        <v>IMPNOITE</v>
      </c>
      <c r="C54" s="13" t="str">
        <f>'HEAD PROGRAMADO'!C54</f>
        <v>ENCARREGADO DE ARMAZEM</v>
      </c>
      <c r="D54" s="14">
        <f>'HEAD PROGRAMADO'!D54</f>
        <v>2</v>
      </c>
      <c r="E54" s="14">
        <f>'HEAD PROGRAMADO'!E54</f>
        <v>2</v>
      </c>
      <c r="F54" s="14">
        <f t="shared" si="5"/>
        <v>0</v>
      </c>
      <c r="G54" s="13" t="str">
        <f t="shared" si="6"/>
        <v>HEAD ADEQUADO</v>
      </c>
      <c r="H54" s="13" t="str">
        <f t="shared" si="7"/>
        <v>MANTER</v>
      </c>
      <c r="I54" s="14">
        <f t="shared" si="8"/>
        <v>0</v>
      </c>
      <c r="J54" s="14">
        <f t="shared" si="9"/>
        <v>0</v>
      </c>
    </row>
    <row r="55" spans="1:10" x14ac:dyDescent="0.25">
      <c r="A55" s="13" t="str">
        <f>'HEAD PROGRAMADO'!A55</f>
        <v>LUBE DISTRIBUIDORA LTDA</v>
      </c>
      <c r="B55" s="13" t="str">
        <f>'HEAD PROGRAMADO'!B55</f>
        <v>IMPNOITE</v>
      </c>
      <c r="C55" s="13" t="str">
        <f>'HEAD PROGRAMADO'!C55</f>
        <v>ESTOQUISTA</v>
      </c>
      <c r="D55" s="14">
        <f>'HEAD PROGRAMADO'!D55</f>
        <v>1</v>
      </c>
      <c r="E55" s="14">
        <f>'HEAD PROGRAMADO'!E55</f>
        <v>1</v>
      </c>
      <c r="F55" s="14">
        <f t="shared" si="5"/>
        <v>0</v>
      </c>
      <c r="G55" s="13" t="str">
        <f t="shared" si="6"/>
        <v>HEAD ADEQUADO</v>
      </c>
      <c r="H55" s="13" t="str">
        <f t="shared" si="7"/>
        <v>MANTER</v>
      </c>
      <c r="I55" s="14">
        <f t="shared" si="8"/>
        <v>0</v>
      </c>
      <c r="J55" s="14">
        <f t="shared" si="9"/>
        <v>0</v>
      </c>
    </row>
    <row r="56" spans="1:10" x14ac:dyDescent="0.25">
      <c r="A56" s="13" t="str">
        <f>'HEAD PROGRAMADO'!A56</f>
        <v>LUBE DISTRIBUIDORA LTDA</v>
      </c>
      <c r="B56" s="13" t="str">
        <f>'HEAD PROGRAMADO'!B56</f>
        <v>IMPNOITE</v>
      </c>
      <c r="C56" s="13" t="str">
        <f>'HEAD PROGRAMADO'!C56</f>
        <v>ESTOQUISTA  "B"</v>
      </c>
      <c r="D56" s="14">
        <f>'HEAD PROGRAMADO'!D56</f>
        <v>18</v>
      </c>
      <c r="E56" s="14">
        <f>'HEAD PROGRAMADO'!E56</f>
        <v>30</v>
      </c>
      <c r="F56" s="14">
        <f t="shared" si="5"/>
        <v>12</v>
      </c>
      <c r="G56" s="13" t="str">
        <f t="shared" si="6"/>
        <v>ABAIXO DO HEAD</v>
      </c>
      <c r="H56" s="13" t="str">
        <f t="shared" si="7"/>
        <v>CONTRATAR</v>
      </c>
      <c r="I56" s="14">
        <f t="shared" si="8"/>
        <v>12</v>
      </c>
      <c r="J56" s="14">
        <f t="shared" si="9"/>
        <v>0</v>
      </c>
    </row>
    <row r="57" spans="1:10" x14ac:dyDescent="0.25">
      <c r="A57" s="13" t="str">
        <f>'HEAD PROGRAMADO'!A57</f>
        <v>LUBE DISTRIBUIDORA LTDA</v>
      </c>
      <c r="B57" s="13" t="str">
        <f>'HEAD PROGRAMADO'!B57</f>
        <v>IMPNOITE</v>
      </c>
      <c r="C57" s="13" t="str">
        <f>'HEAD PROGRAMADO'!C57</f>
        <v>MOTORISTA I</v>
      </c>
      <c r="D57" s="14">
        <f>'HEAD PROGRAMADO'!D57</f>
        <v>1</v>
      </c>
      <c r="E57" s="14">
        <f>'HEAD PROGRAMADO'!E57</f>
        <v>1</v>
      </c>
      <c r="F57" s="14">
        <f t="shared" si="5"/>
        <v>0</v>
      </c>
      <c r="G57" s="13" t="str">
        <f t="shared" si="6"/>
        <v>HEAD ADEQUADO</v>
      </c>
      <c r="H57" s="13" t="str">
        <f t="shared" si="7"/>
        <v>MANTER</v>
      </c>
      <c r="I57" s="14">
        <f t="shared" si="8"/>
        <v>0</v>
      </c>
      <c r="J57" s="14">
        <f t="shared" si="9"/>
        <v>0</v>
      </c>
    </row>
    <row r="58" spans="1:10" x14ac:dyDescent="0.25">
      <c r="A58" s="13" t="str">
        <f>'HEAD PROGRAMADO'!A58</f>
        <v>LUBE DISTRIBUIDORA LTDA</v>
      </c>
      <c r="B58" s="13" t="str">
        <f>'HEAD PROGRAMADO'!B58</f>
        <v>IMPNOITE</v>
      </c>
      <c r="C58" s="13" t="str">
        <f>'HEAD PROGRAMADO'!C58</f>
        <v>MOTORISTA III</v>
      </c>
      <c r="D58" s="14">
        <f>'HEAD PROGRAMADO'!D58</f>
        <v>1</v>
      </c>
      <c r="E58" s="14">
        <f>'HEAD PROGRAMADO'!E58</f>
        <v>1</v>
      </c>
      <c r="F58" s="14">
        <f t="shared" si="5"/>
        <v>0</v>
      </c>
      <c r="G58" s="13" t="str">
        <f t="shared" si="6"/>
        <v>HEAD ADEQUADO</v>
      </c>
      <c r="H58" s="13" t="str">
        <f t="shared" si="7"/>
        <v>MANTER</v>
      </c>
      <c r="I58" s="14">
        <f t="shared" si="8"/>
        <v>0</v>
      </c>
      <c r="J58" s="14">
        <f t="shared" si="9"/>
        <v>0</v>
      </c>
    </row>
    <row r="59" spans="1:10" x14ac:dyDescent="0.25">
      <c r="A59" s="13" t="str">
        <f>'HEAD PROGRAMADO'!A59</f>
        <v>LUBE DISTRIBUIDORA LTDA</v>
      </c>
      <c r="B59" s="13" t="str">
        <f>'HEAD PROGRAMADO'!B59</f>
        <v>IMPNOITE</v>
      </c>
      <c r="C59" s="13" t="str">
        <f>'HEAD PROGRAMADO'!C59</f>
        <v>OPERADOR DE EMPILHADEIRA</v>
      </c>
      <c r="D59" s="14">
        <f>'HEAD PROGRAMADO'!D59</f>
        <v>3</v>
      </c>
      <c r="E59" s="14">
        <f>'HEAD PROGRAMADO'!E59</f>
        <v>3</v>
      </c>
      <c r="F59" s="14">
        <f t="shared" si="5"/>
        <v>0</v>
      </c>
      <c r="G59" s="13" t="str">
        <f t="shared" si="6"/>
        <v>HEAD ADEQUADO</v>
      </c>
      <c r="H59" s="13" t="str">
        <f t="shared" si="7"/>
        <v>MANTER</v>
      </c>
      <c r="I59" s="14">
        <f t="shared" si="8"/>
        <v>0</v>
      </c>
      <c r="J59" s="14">
        <f t="shared" si="9"/>
        <v>0</v>
      </c>
    </row>
    <row r="60" spans="1:10" x14ac:dyDescent="0.25">
      <c r="A60" s="13" t="str">
        <f>'HEAD PROGRAMADO'!A60</f>
        <v>LUBE DISTRIBUIDORA LTDA</v>
      </c>
      <c r="B60" s="13" t="str">
        <f>'HEAD PROGRAMADO'!B60</f>
        <v>OPERACIONAL</v>
      </c>
      <c r="C60" s="13" t="str">
        <f>'HEAD PROGRAMADO'!C60</f>
        <v>ASSISTENTE DE FROTA</v>
      </c>
      <c r="D60" s="14">
        <f>'HEAD PROGRAMADO'!D60</f>
        <v>1</v>
      </c>
      <c r="E60" s="14">
        <f>'HEAD PROGRAMADO'!E60</f>
        <v>1</v>
      </c>
      <c r="F60" s="14">
        <f t="shared" si="5"/>
        <v>0</v>
      </c>
      <c r="G60" s="13" t="str">
        <f t="shared" si="6"/>
        <v>HEAD ADEQUADO</v>
      </c>
      <c r="H60" s="13" t="str">
        <f t="shared" si="7"/>
        <v>MANTER</v>
      </c>
      <c r="I60" s="14">
        <f t="shared" si="8"/>
        <v>0</v>
      </c>
      <c r="J60" s="14">
        <f t="shared" si="9"/>
        <v>0</v>
      </c>
    </row>
    <row r="61" spans="1:10" x14ac:dyDescent="0.25">
      <c r="A61" s="13" t="str">
        <f>'HEAD PROGRAMADO'!A61</f>
        <v>LUBE DISTRIBUIDORA LTDA</v>
      </c>
      <c r="B61" s="13" t="str">
        <f>'HEAD PROGRAMADO'!B61</f>
        <v>VENDAS BALCÃO</v>
      </c>
      <c r="C61" s="13" t="str">
        <f>'HEAD PROGRAMADO'!C61</f>
        <v>ASSISTENTE ADMINISTRATIVO</v>
      </c>
      <c r="D61" s="14">
        <f>'HEAD PROGRAMADO'!D61</f>
        <v>1</v>
      </c>
      <c r="E61" s="14">
        <f>'HEAD PROGRAMADO'!E61</f>
        <v>1</v>
      </c>
      <c r="F61" s="14">
        <f t="shared" si="5"/>
        <v>0</v>
      </c>
      <c r="G61" s="13" t="str">
        <f t="shared" si="6"/>
        <v>HEAD ADEQUADO</v>
      </c>
      <c r="H61" s="13" t="str">
        <f t="shared" si="7"/>
        <v>MANTER</v>
      </c>
      <c r="I61" s="14">
        <f t="shared" si="8"/>
        <v>0</v>
      </c>
      <c r="J61" s="14">
        <f t="shared" si="9"/>
        <v>0</v>
      </c>
    </row>
    <row r="62" spans="1:10" x14ac:dyDescent="0.25">
      <c r="A62" s="13" t="str">
        <f>'HEAD PROGRAMADO'!A62</f>
        <v>LUBE DISTRIBUIDORA LTDA</v>
      </c>
      <c r="B62" s="13" t="str">
        <f>'HEAD PROGRAMADO'!B62</f>
        <v>VENDAS BALCÃO</v>
      </c>
      <c r="C62" s="13" t="str">
        <f>'HEAD PROGRAMADO'!C62</f>
        <v>ASSISTENTE COMERCIAL</v>
      </c>
      <c r="D62" s="14">
        <f>'HEAD PROGRAMADO'!D62</f>
        <v>1</v>
      </c>
      <c r="E62" s="14">
        <f>'HEAD PROGRAMADO'!E62</f>
        <v>1</v>
      </c>
      <c r="F62" s="14">
        <f t="shared" si="5"/>
        <v>0</v>
      </c>
      <c r="G62" s="13" t="str">
        <f t="shared" si="6"/>
        <v>HEAD ADEQUADO</v>
      </c>
      <c r="H62" s="13" t="str">
        <f t="shared" si="7"/>
        <v>MANTER</v>
      </c>
      <c r="I62" s="14">
        <f t="shared" si="8"/>
        <v>0</v>
      </c>
      <c r="J62" s="14">
        <f t="shared" si="9"/>
        <v>0</v>
      </c>
    </row>
    <row r="63" spans="1:10" x14ac:dyDescent="0.25">
      <c r="A63" s="13" t="str">
        <f>'HEAD PROGRAMADO'!A63</f>
        <v>LUBE DISTRIBUIDORA LTDA</v>
      </c>
      <c r="B63" s="13" t="str">
        <f>'HEAD PROGRAMADO'!B63</f>
        <v>VENDAS BALCÃO</v>
      </c>
      <c r="C63" s="13" t="str">
        <f>'HEAD PROGRAMADO'!C63</f>
        <v>AUXILIAR ADMINISTRATIVO</v>
      </c>
      <c r="D63" s="14">
        <f>'HEAD PROGRAMADO'!D63</f>
        <v>3</v>
      </c>
      <c r="E63" s="14">
        <f>'HEAD PROGRAMADO'!E63</f>
        <v>1</v>
      </c>
      <c r="F63" s="14">
        <f t="shared" si="5"/>
        <v>-2</v>
      </c>
      <c r="G63" s="13" t="str">
        <f t="shared" si="6"/>
        <v>ACIMA DO HEAD</v>
      </c>
      <c r="H63" s="13" t="str">
        <f t="shared" si="7"/>
        <v>AVALIAR REDUÇÃO</v>
      </c>
      <c r="I63" s="14">
        <f t="shared" si="8"/>
        <v>0</v>
      </c>
      <c r="J63" s="14">
        <f t="shared" si="9"/>
        <v>2</v>
      </c>
    </row>
    <row r="64" spans="1:10" x14ac:dyDescent="0.25">
      <c r="A64" s="13" t="str">
        <f>'HEAD PROGRAMADO'!A64</f>
        <v>LUBE DISTRIBUIDORA LTDA</v>
      </c>
      <c r="B64" s="13" t="str">
        <f>'HEAD PROGRAMADO'!B64</f>
        <v>VENDAS BALCÃO</v>
      </c>
      <c r="C64" s="13" t="str">
        <f>'HEAD PROGRAMADO'!C64</f>
        <v>SUPERVISOR DE TELEVENDAS</v>
      </c>
      <c r="D64" s="14">
        <f>'HEAD PROGRAMADO'!D64</f>
        <v>1</v>
      </c>
      <c r="E64" s="14">
        <f>'HEAD PROGRAMADO'!E64</f>
        <v>1</v>
      </c>
      <c r="F64" s="14">
        <f t="shared" si="5"/>
        <v>0</v>
      </c>
      <c r="G64" s="13" t="str">
        <f t="shared" si="6"/>
        <v>HEAD ADEQUADO</v>
      </c>
      <c r="H64" s="13" t="str">
        <f t="shared" si="7"/>
        <v>MANTER</v>
      </c>
      <c r="I64" s="14">
        <f t="shared" si="8"/>
        <v>0</v>
      </c>
      <c r="J64" s="14">
        <f t="shared" si="9"/>
        <v>0</v>
      </c>
    </row>
    <row r="65" spans="1:10" x14ac:dyDescent="0.25">
      <c r="A65" s="13" t="str">
        <f>'HEAD PROGRAMADO'!A65</f>
        <v>LUBE DISTRIBUIDORA LTDA</v>
      </c>
      <c r="B65" s="13" t="str">
        <f>'HEAD PROGRAMADO'!B65</f>
        <v>VENDAS BALCÃO</v>
      </c>
      <c r="C65" s="13" t="str">
        <f>'HEAD PROGRAMADO'!C65</f>
        <v>VENDEDOR</v>
      </c>
      <c r="D65" s="14">
        <f>'HEAD PROGRAMADO'!D65</f>
        <v>6</v>
      </c>
      <c r="E65" s="14">
        <f>'HEAD PROGRAMADO'!E65</f>
        <v>6</v>
      </c>
      <c r="F65" s="14">
        <f t="shared" si="5"/>
        <v>0</v>
      </c>
      <c r="G65" s="13" t="str">
        <f t="shared" si="6"/>
        <v>HEAD ADEQUADO</v>
      </c>
      <c r="H65" s="13" t="str">
        <f t="shared" si="7"/>
        <v>MANTER</v>
      </c>
      <c r="I65" s="14">
        <f t="shared" si="8"/>
        <v>0</v>
      </c>
      <c r="J65" s="14">
        <f t="shared" si="9"/>
        <v>0</v>
      </c>
    </row>
    <row r="66" spans="1:10" x14ac:dyDescent="0.25">
      <c r="A66" s="13" t="str">
        <f>'HEAD PROGRAMADO'!A66</f>
        <v>LUBE DISTRIBUIDORA LTDA</v>
      </c>
      <c r="B66" s="13" t="str">
        <f>'HEAD PROGRAMADO'!B66</f>
        <v>VENDAS DISTRIBUICÃO</v>
      </c>
      <c r="C66" s="13" t="str">
        <f>'HEAD PROGRAMADO'!C66</f>
        <v>PROMOTOR DE VENDAS</v>
      </c>
      <c r="D66" s="14">
        <f>'HEAD PROGRAMADO'!D66</f>
        <v>4</v>
      </c>
      <c r="E66" s="14">
        <f>'HEAD PROGRAMADO'!E66</f>
        <v>4</v>
      </c>
      <c r="F66" s="14">
        <f t="shared" si="5"/>
        <v>0</v>
      </c>
      <c r="G66" s="13" t="str">
        <f t="shared" si="6"/>
        <v>HEAD ADEQUADO</v>
      </c>
      <c r="H66" s="13" t="str">
        <f t="shared" si="7"/>
        <v>MANTER</v>
      </c>
      <c r="I66" s="14">
        <f t="shared" si="8"/>
        <v>0</v>
      </c>
      <c r="J66" s="14">
        <f t="shared" si="9"/>
        <v>0</v>
      </c>
    </row>
    <row r="67" spans="1:10" x14ac:dyDescent="0.25">
      <c r="A67" s="13" t="str">
        <f>'HEAD PROGRAMADO'!A67</f>
        <v>LUBE RIO DISTRIBUIDORA LTDA</v>
      </c>
      <c r="B67" s="13" t="str">
        <f>'HEAD PROGRAMADO'!B67</f>
        <v>GERAL</v>
      </c>
      <c r="C67" s="13" t="str">
        <f>'HEAD PROGRAMADO'!C67</f>
        <v>ASSISTENTE ADMINISTRATIVO</v>
      </c>
      <c r="D67" s="14">
        <f>'HEAD PROGRAMADO'!D67</f>
        <v>1</v>
      </c>
      <c r="E67" s="14">
        <f>'HEAD PROGRAMADO'!E67</f>
        <v>1</v>
      </c>
      <c r="F67" s="14">
        <f t="shared" si="5"/>
        <v>0</v>
      </c>
      <c r="G67" s="13" t="str">
        <f t="shared" si="6"/>
        <v>HEAD ADEQUADO</v>
      </c>
      <c r="H67" s="13" t="str">
        <f t="shared" si="7"/>
        <v>MANTER</v>
      </c>
      <c r="I67" s="14">
        <f t="shared" si="8"/>
        <v>0</v>
      </c>
      <c r="J67" s="14">
        <f t="shared" si="9"/>
        <v>0</v>
      </c>
    </row>
    <row r="68" spans="1:10" x14ac:dyDescent="0.25">
      <c r="A68" s="13" t="str">
        <f>'HEAD PROGRAMADO'!A68</f>
        <v>LUBE RIO DISTRIBUIDORA LTDA</v>
      </c>
      <c r="B68" s="13" t="str">
        <f>'HEAD PROGRAMADO'!B68</f>
        <v>GERAL</v>
      </c>
      <c r="C68" s="13" t="str">
        <f>'HEAD PROGRAMADO'!C68</f>
        <v>Ajudante de motorista II</v>
      </c>
      <c r="D68" s="14">
        <f>'HEAD PROGRAMADO'!D68</f>
        <v>3</v>
      </c>
      <c r="E68" s="14">
        <f>'HEAD PROGRAMADO'!E68</f>
        <v>3</v>
      </c>
      <c r="F68" s="14">
        <f t="shared" si="5"/>
        <v>0</v>
      </c>
      <c r="G68" s="13" t="str">
        <f t="shared" si="6"/>
        <v>HEAD ADEQUADO</v>
      </c>
      <c r="H68" s="13" t="str">
        <f t="shared" si="7"/>
        <v>MANTER</v>
      </c>
      <c r="I68" s="14">
        <f t="shared" si="8"/>
        <v>0</v>
      </c>
      <c r="J68" s="14">
        <f t="shared" si="9"/>
        <v>0</v>
      </c>
    </row>
    <row r="69" spans="1:10" x14ac:dyDescent="0.25">
      <c r="A69" s="13" t="str">
        <f>'HEAD PROGRAMADO'!A69</f>
        <v>LUBE RIO DISTRIBUIDORA LTDA</v>
      </c>
      <c r="B69" s="13" t="str">
        <f>'HEAD PROGRAMADO'!B69</f>
        <v>GERAL</v>
      </c>
      <c r="C69" s="13" t="str">
        <f>'HEAD PROGRAMADO'!C69</f>
        <v>CONFERENTE "C"</v>
      </c>
      <c r="D69" s="14">
        <f>'HEAD PROGRAMADO'!D69</f>
        <v>1</v>
      </c>
      <c r="E69" s="14">
        <f>'HEAD PROGRAMADO'!E69</f>
        <v>1</v>
      </c>
      <c r="F69" s="14">
        <f t="shared" si="5"/>
        <v>0</v>
      </c>
      <c r="G69" s="13" t="str">
        <f t="shared" si="6"/>
        <v>HEAD ADEQUADO</v>
      </c>
      <c r="H69" s="13" t="str">
        <f t="shared" si="7"/>
        <v>MANTER</v>
      </c>
      <c r="I69" s="14">
        <f t="shared" si="8"/>
        <v>0</v>
      </c>
      <c r="J69" s="14">
        <f t="shared" si="9"/>
        <v>0</v>
      </c>
    </row>
    <row r="70" spans="1:10" x14ac:dyDescent="0.25">
      <c r="A70" s="13" t="str">
        <f>'HEAD PROGRAMADO'!A70</f>
        <v>LUBE RIO DISTRIBUIDORA LTDA</v>
      </c>
      <c r="B70" s="13" t="str">
        <f>'HEAD PROGRAMADO'!B70</f>
        <v>GERAL</v>
      </c>
      <c r="C70" s="13" t="str">
        <f>'HEAD PROGRAMADO'!C70</f>
        <v>ESTOQUISTA  "B"</v>
      </c>
      <c r="D70" s="14">
        <f>'HEAD PROGRAMADO'!D70</f>
        <v>3</v>
      </c>
      <c r="E70" s="14">
        <f>'HEAD PROGRAMADO'!E70</f>
        <v>3</v>
      </c>
      <c r="F70" s="14">
        <f t="shared" ref="F70:F101" si="10">IF(E70="","",E70-D70)</f>
        <v>0</v>
      </c>
      <c r="G70" s="13" t="str">
        <f t="shared" ref="G70:G101" si="11">IF(E70="","AGUARDANDO PROGRAMAÇÃO",IF(F70&gt;0,"ABAIXO DO HEAD",IF(F70&lt;0,"ACIMA DO HEAD","HEAD ADEQUADO")))</f>
        <v>HEAD ADEQUADO</v>
      </c>
      <c r="H70" s="13" t="str">
        <f t="shared" ref="H70:H75" si="12">IF(E70="","PREENCHER",IF(F70&gt;0,"CONTRATAR",IF(F70&lt;0,"AVALIAR REDUÇÃO","MANTER")))</f>
        <v>MANTER</v>
      </c>
      <c r="I70" s="14">
        <f t="shared" ref="I70:I75" si="13">IF(F70&gt;0,F70,0)</f>
        <v>0</v>
      </c>
      <c r="J70" s="14">
        <f t="shared" ref="J70:J75" si="14">IF(F70&lt;0,-F70,0)</f>
        <v>0</v>
      </c>
    </row>
    <row r="71" spans="1:10" x14ac:dyDescent="0.25">
      <c r="A71" s="13" t="str">
        <f>'HEAD PROGRAMADO'!A71</f>
        <v>LUBE RIO DISTRIBUIDORA LTDA</v>
      </c>
      <c r="B71" s="13" t="str">
        <f>'HEAD PROGRAMADO'!B71</f>
        <v>GERAL</v>
      </c>
      <c r="C71" s="13" t="str">
        <f>'HEAD PROGRAMADO'!C71</f>
        <v>MOTORISTA I</v>
      </c>
      <c r="D71" s="14">
        <f>'HEAD PROGRAMADO'!D71</f>
        <v>3</v>
      </c>
      <c r="E71" s="14">
        <f>'HEAD PROGRAMADO'!E71</f>
        <v>3</v>
      </c>
      <c r="F71" s="14">
        <f t="shared" si="10"/>
        <v>0</v>
      </c>
      <c r="G71" s="13" t="str">
        <f t="shared" si="11"/>
        <v>HEAD ADEQUADO</v>
      </c>
      <c r="H71" s="13" t="str">
        <f t="shared" si="12"/>
        <v>MANTER</v>
      </c>
      <c r="I71" s="14">
        <f t="shared" si="13"/>
        <v>0</v>
      </c>
      <c r="J71" s="14">
        <f t="shared" si="14"/>
        <v>0</v>
      </c>
    </row>
    <row r="72" spans="1:10" x14ac:dyDescent="0.25">
      <c r="A72" s="13" t="str">
        <f>'HEAD PROGRAMADO'!A72</f>
        <v>LUBE RIO DISTRIBUIDORA LTDA</v>
      </c>
      <c r="B72" s="13" t="str">
        <f>'HEAD PROGRAMADO'!B72</f>
        <v>GERAL</v>
      </c>
      <c r="C72" s="13" t="str">
        <f>'HEAD PROGRAMADO'!C72</f>
        <v>OPERADOR DE EMPILHADEIRA</v>
      </c>
      <c r="D72" s="14">
        <f>'HEAD PROGRAMADO'!D72</f>
        <v>1</v>
      </c>
      <c r="E72" s="14">
        <f>'HEAD PROGRAMADO'!E72</f>
        <v>1</v>
      </c>
      <c r="F72" s="14">
        <f t="shared" si="10"/>
        <v>0</v>
      </c>
      <c r="G72" s="13" t="str">
        <f t="shared" si="11"/>
        <v>HEAD ADEQUADO</v>
      </c>
      <c r="H72" s="13" t="str">
        <f t="shared" si="12"/>
        <v>MANTER</v>
      </c>
      <c r="I72" s="14">
        <f t="shared" si="13"/>
        <v>0</v>
      </c>
      <c r="J72" s="14">
        <f t="shared" si="14"/>
        <v>0</v>
      </c>
    </row>
    <row r="73" spans="1:10" ht="30" x14ac:dyDescent="0.25">
      <c r="A73" s="13" t="str">
        <f>'HEAD PROGRAMADO'!A73</f>
        <v>SERMAR INCORPORAÇÕES E LOCAÇÕES IMOBILIARIAS LTDA</v>
      </c>
      <c r="B73" s="13" t="str">
        <f>'HEAD PROGRAMADO'!B73</f>
        <v>SERMAR INCORP. E LOCAÇÕES  IMOBILIARIAS LTDA</v>
      </c>
      <c r="C73" s="13" t="str">
        <f>'HEAD PROGRAMADO'!C73</f>
        <v>AUXILIAR DE OBRA</v>
      </c>
      <c r="D73" s="14">
        <f>'HEAD PROGRAMADO'!D73</f>
        <v>2</v>
      </c>
      <c r="E73" s="14">
        <f>'HEAD PROGRAMADO'!E73</f>
        <v>2</v>
      </c>
      <c r="F73" s="14">
        <f t="shared" si="10"/>
        <v>0</v>
      </c>
      <c r="G73" s="13" t="str">
        <f t="shared" si="11"/>
        <v>HEAD ADEQUADO</v>
      </c>
      <c r="H73" s="13" t="str">
        <f t="shared" si="12"/>
        <v>MANTER</v>
      </c>
      <c r="I73" s="14">
        <f t="shared" si="13"/>
        <v>0</v>
      </c>
      <c r="J73" s="14">
        <f t="shared" si="14"/>
        <v>0</v>
      </c>
    </row>
    <row r="74" spans="1:10" ht="30" x14ac:dyDescent="0.25">
      <c r="A74" s="13" t="str">
        <f>'HEAD PROGRAMADO'!A74</f>
        <v>SERMAR INCORPORAÇÕES E LOCAÇÕES IMOBILIARIAS LTDA</v>
      </c>
      <c r="B74" s="13" t="str">
        <f>'HEAD PROGRAMADO'!B74</f>
        <v>SERMAR INCORP. E LOCAÇÕES  IMOBILIARIAS LTDA</v>
      </c>
      <c r="C74" s="13" t="str">
        <f>'HEAD PROGRAMADO'!C74</f>
        <v>ENCARREGADO</v>
      </c>
      <c r="D74" s="14">
        <f>'HEAD PROGRAMADO'!D74</f>
        <v>1</v>
      </c>
      <c r="E74" s="14">
        <f>'HEAD PROGRAMADO'!E74</f>
        <v>1</v>
      </c>
      <c r="F74" s="14">
        <f t="shared" si="10"/>
        <v>0</v>
      </c>
      <c r="G74" s="13" t="str">
        <f t="shared" si="11"/>
        <v>HEAD ADEQUADO</v>
      </c>
      <c r="H74" s="13" t="str">
        <f t="shared" si="12"/>
        <v>MANTER</v>
      </c>
      <c r="I74" s="14">
        <f t="shared" si="13"/>
        <v>0</v>
      </c>
      <c r="J74" s="14">
        <f t="shared" si="14"/>
        <v>0</v>
      </c>
    </row>
    <row r="75" spans="1:10" ht="30" x14ac:dyDescent="0.25">
      <c r="A75" s="13" t="str">
        <f>'HEAD PROGRAMADO'!A75</f>
        <v>SERMAR INCORPORAÇÕES E LOCAÇÕES IMOBILIARIAS LTDA</v>
      </c>
      <c r="B75" s="13" t="str">
        <f>'HEAD PROGRAMADO'!B75</f>
        <v>SERMAR INCORP. E LOCAÇÕES  IMOBILIARIAS LTDA</v>
      </c>
      <c r="C75" s="13" t="str">
        <f>'HEAD PROGRAMADO'!C75</f>
        <v>OFICIAL POLIVALENTE PEDREIRO</v>
      </c>
      <c r="D75" s="14">
        <f>'HEAD PROGRAMADO'!D75</f>
        <v>2</v>
      </c>
      <c r="E75" s="14">
        <f>'HEAD PROGRAMADO'!E75</f>
        <v>2</v>
      </c>
      <c r="F75" s="14">
        <f t="shared" si="10"/>
        <v>0</v>
      </c>
      <c r="G75" s="13" t="str">
        <f t="shared" si="11"/>
        <v>HEAD ADEQUADO</v>
      </c>
      <c r="H75" s="13" t="str">
        <f t="shared" si="12"/>
        <v>MANTER</v>
      </c>
      <c r="I75" s="14">
        <f t="shared" si="13"/>
        <v>0</v>
      </c>
      <c r="J75" s="14">
        <f t="shared" si="14"/>
        <v>0</v>
      </c>
    </row>
    <row r="78" spans="1:10" ht="15.75" x14ac:dyDescent="0.25">
      <c r="A78" s="23" t="s">
        <v>308</v>
      </c>
      <c r="B78" s="18"/>
      <c r="C78" s="18"/>
      <c r="D78" s="18"/>
    </row>
    <row r="79" spans="1:10" x14ac:dyDescent="0.25">
      <c r="A79" s="15" t="s">
        <v>309</v>
      </c>
      <c r="B79" s="14">
        <f>COUNTIF(H6:H75,"CONTRATAR")</f>
        <v>3</v>
      </c>
    </row>
    <row r="80" spans="1:10" x14ac:dyDescent="0.25">
      <c r="A80" s="15" t="s">
        <v>310</v>
      </c>
      <c r="B80" s="14">
        <f>SUM(I6:I75)</f>
        <v>17</v>
      </c>
    </row>
    <row r="81" spans="1:5" x14ac:dyDescent="0.25">
      <c r="A81" s="15" t="s">
        <v>311</v>
      </c>
      <c r="B81" s="14">
        <f>COUNTIF(H6:H75,"AVALIAR REDUÇÃO")</f>
        <v>8</v>
      </c>
    </row>
    <row r="82" spans="1:5" x14ac:dyDescent="0.25">
      <c r="A82" s="15" t="s">
        <v>312</v>
      </c>
      <c r="B82" s="14">
        <f>SUM(J6:J75)</f>
        <v>12</v>
      </c>
    </row>
    <row r="83" spans="1:5" x14ac:dyDescent="0.25">
      <c r="A83" s="15" t="s">
        <v>313</v>
      </c>
      <c r="B83" s="14">
        <f>COUNTIF(H6:H75,"MANTER")</f>
        <v>59</v>
      </c>
    </row>
    <row r="86" spans="1:5" ht="15.75" x14ac:dyDescent="0.25">
      <c r="A86" s="22" t="s">
        <v>314</v>
      </c>
      <c r="B86" s="18"/>
      <c r="C86" s="18"/>
      <c r="D86" s="18"/>
      <c r="E86" s="18"/>
    </row>
    <row r="87" spans="1:5" ht="30" x14ac:dyDescent="0.25">
      <c r="A87" s="16" t="s">
        <v>3</v>
      </c>
      <c r="B87" s="16" t="s">
        <v>4</v>
      </c>
      <c r="C87" s="16" t="s">
        <v>42</v>
      </c>
      <c r="D87" s="16" t="s">
        <v>5</v>
      </c>
      <c r="E87" s="16" t="s">
        <v>306</v>
      </c>
    </row>
    <row r="90" spans="1:5" x14ac:dyDescent="0.25">
      <c r="A90" s="24" t="s">
        <v>315</v>
      </c>
      <c r="B90" s="18"/>
      <c r="C90" s="18"/>
      <c r="D90" s="18"/>
      <c r="E90" s="18"/>
    </row>
  </sheetData>
  <autoFilter ref="A5:J75" xr:uid="{00000000-0009-0000-0000-000003000000}"/>
  <mergeCells count="5">
    <mergeCell ref="A1:J1"/>
    <mergeCell ref="A86:E86"/>
    <mergeCell ref="A78:D78"/>
    <mergeCell ref="A90:E90"/>
    <mergeCell ref="A3:J3"/>
  </mergeCells>
  <conditionalFormatting sqref="F6:F75">
    <cfRule type="cellIs" dxfId="3" priority="1" operator="greaterThan">
      <formula>0</formula>
    </cfRule>
    <cfRule type="cellIs" dxfId="2" priority="2" operator="lessThan">
      <formula>0</formula>
    </cfRule>
  </conditionalFormatting>
  <conditionalFormatting sqref="H6:H75">
    <cfRule type="expression" dxfId="1" priority="3">
      <formula>$H6="CONTRATAR"</formula>
    </cfRule>
    <cfRule type="expression" dxfId="0" priority="4">
      <formula>$H6="AVALIAR REDUÇÃO"</formula>
    </cfRule>
  </conditionalFormatting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HEAD ATUAL</vt:lpstr>
      <vt:lpstr>HEAD PROGRAMADO</vt:lpstr>
      <vt:lpstr>ANÁLISE HEAD</vt:lpstr>
      <vt:lpstr>ANÁLISE POR FUNÇÃO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Lube Distribuidora</cp:lastModifiedBy>
  <dcterms:created xsi:type="dcterms:W3CDTF">2026-08-31T14:13:57Z</dcterms:created>
  <dcterms:modified xsi:type="dcterms:W3CDTF">2026-08-31T17:50:15Z</dcterms:modified>
</cp:coreProperties>
</file>